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codeName="ThisWorkbook"/>
  <mc:AlternateContent xmlns:mc="http://schemas.openxmlformats.org/markup-compatibility/2006">
    <mc:Choice Requires="x15">
      <x15ac:absPath xmlns:x15ac="http://schemas.microsoft.com/office/spreadsheetml/2010/11/ac" url="Z:\DIGITAL_LEARNING\Certificates\HEC\ICCF\Edition_10_2020S1\1. Analyse financière\Cas Uniwax\"/>
    </mc:Choice>
  </mc:AlternateContent>
  <xr:revisionPtr revIDLastSave="0" documentId="13_ncr:1_{13D89233-C4A0-418F-A624-E2C6FF592221}" xr6:coauthVersionLast="45" xr6:coauthVersionMax="45" xr10:uidLastSave="{00000000-0000-0000-0000-000000000000}"/>
  <bookViews>
    <workbookView xWindow="-110" yWindow="-110" windowWidth="19420" windowHeight="10420" tabRatio="744" activeTab="1" xr2:uid="{00000000-000D-0000-FFFF-FFFF00000000}"/>
  </bookViews>
  <sheets>
    <sheet name="Anafi" sheetId="1" r:id="rId1"/>
    <sheet name="Questions et réponses" sheetId="4" r:id="rId2"/>
    <sheet name="Annexe 2" sheetId="5" r:id="rId3"/>
  </sheets>
  <definedNames>
    <definedName name="_xlnm.Print_Area" localSheetId="1">'Questions et réponses'!$A$1:$H$124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16" i="4" l="1"/>
  <c r="D90" i="4" l="1"/>
  <c r="C12" i="5"/>
  <c r="D10" i="5" l="1"/>
  <c r="E10" i="5" s="1"/>
  <c r="F10" i="5" s="1"/>
  <c r="D86" i="4" l="1"/>
  <c r="D6" i="4" l="1"/>
  <c r="D4" i="4"/>
  <c r="G124" i="4"/>
  <c r="A6" i="4"/>
  <c r="D16" i="4" l="1"/>
  <c r="A8" i="4"/>
  <c r="A12" i="4" s="1"/>
  <c r="A16" i="4" s="1"/>
  <c r="A18" i="4" s="1"/>
  <c r="A24" i="4" s="1"/>
  <c r="A30" i="4" s="1"/>
  <c r="A36" i="4" s="1"/>
  <c r="A42" i="4" s="1"/>
  <c r="A47" i="4" s="1"/>
  <c r="A49" i="4" s="1"/>
  <c r="A55" i="4" l="1"/>
  <c r="A60" i="4" s="1"/>
  <c r="A66" i="4" s="1"/>
  <c r="A68" i="4" s="1"/>
  <c r="A70" i="4" s="1"/>
  <c r="A72" i="4" s="1"/>
  <c r="A74" i="4" s="1"/>
  <c r="A76" i="4" s="1"/>
  <c r="A78" i="4" s="1"/>
  <c r="A80" i="4" s="1"/>
  <c r="A82" i="4" s="1"/>
  <c r="A84" i="4" s="1"/>
  <c r="A86" i="4" s="1"/>
  <c r="A88" i="4" s="1"/>
  <c r="A90" i="4" s="1"/>
  <c r="A92" i="4" s="1"/>
  <c r="A94" i="4" s="1"/>
  <c r="A96" i="4" s="1"/>
  <c r="A102" i="4" s="1"/>
  <c r="A104" i="4" s="1"/>
  <c r="A106" i="4" s="1"/>
  <c r="A108" i="4" s="1"/>
  <c r="A110" i="4" s="1"/>
  <c r="A116" i="4" s="1"/>
  <c r="A118" i="4" s="1"/>
  <c r="E47" i="1" l="1"/>
  <c r="E29" i="1"/>
  <c r="E27" i="1"/>
  <c r="E25" i="1"/>
  <c r="E18" i="1"/>
  <c r="E17" i="1"/>
  <c r="E74" i="1"/>
  <c r="E71" i="1"/>
  <c r="E86" i="1"/>
  <c r="C85" i="1"/>
  <c r="D85" i="1"/>
  <c r="E85" i="1"/>
  <c r="E88" i="1"/>
  <c r="E72" i="1"/>
  <c r="E10" i="1"/>
  <c r="E11" i="1"/>
  <c r="D49" i="1"/>
  <c r="C29" i="1"/>
  <c r="C30" i="1"/>
  <c r="C31" i="1"/>
  <c r="D30" i="1"/>
  <c r="D17" i="1"/>
  <c r="C25" i="1"/>
  <c r="D25" i="1"/>
  <c r="D18" i="1"/>
  <c r="C18" i="1"/>
  <c r="C17" i="1"/>
  <c r="D74" i="1"/>
  <c r="C74" i="1"/>
  <c r="D73" i="1"/>
  <c r="C73" i="1"/>
  <c r="D71" i="1"/>
  <c r="C71" i="1"/>
  <c r="D74" i="4" s="1"/>
  <c r="D86" i="1"/>
  <c r="C86" i="1"/>
  <c r="D88" i="1"/>
  <c r="C88" i="1"/>
  <c r="C67" i="1"/>
  <c r="D67" i="1"/>
  <c r="D64" i="1"/>
  <c r="C64" i="1"/>
  <c r="D10" i="1"/>
  <c r="C10" i="1"/>
  <c r="E16" i="1" l="1"/>
  <c r="C16" i="1"/>
  <c r="D78" i="4" s="1"/>
  <c r="E12" i="1"/>
  <c r="D16" i="1"/>
  <c r="D80" i="4" s="1"/>
  <c r="C9" i="1"/>
  <c r="C75" i="1"/>
  <c r="D75" i="1"/>
  <c r="E75" i="1"/>
  <c r="D72" i="4" s="1"/>
  <c r="B49" i="1"/>
  <c r="B29" i="1"/>
  <c r="B30" i="1"/>
  <c r="B19" i="1"/>
  <c r="B25" i="1"/>
  <c r="B17" i="1"/>
  <c r="B74" i="1"/>
  <c r="B73" i="1"/>
  <c r="B71" i="1"/>
  <c r="B86" i="1"/>
  <c r="B88" i="1"/>
  <c r="B67" i="1"/>
  <c r="B64" i="1"/>
  <c r="D88" i="4" s="1"/>
  <c r="C66" i="1"/>
  <c r="D66" i="1"/>
  <c r="E66" i="1"/>
  <c r="B11" i="1"/>
  <c r="D84" i="4" l="1"/>
  <c r="D47" i="4"/>
  <c r="D82" i="4"/>
  <c r="D70" i="4"/>
  <c r="D68" i="4"/>
  <c r="D45" i="1"/>
  <c r="E45" i="1"/>
  <c r="C11" i="1"/>
  <c r="C12" i="1" s="1"/>
  <c r="B66" i="1"/>
  <c r="B75" i="1"/>
  <c r="B16" i="1"/>
  <c r="D11" i="1"/>
  <c r="D12" i="1" s="1"/>
  <c r="D76" i="4" l="1"/>
  <c r="C45" i="1"/>
  <c r="D66" i="4"/>
  <c r="K7" i="1" l="1"/>
  <c r="E42" i="1" l="1"/>
  <c r="E89" i="1"/>
  <c r="E78" i="1"/>
  <c r="E40" i="1"/>
  <c r="E60" i="1" s="1"/>
  <c r="K9" i="1" l="1"/>
  <c r="K11" i="1"/>
  <c r="K12" i="1"/>
  <c r="E15" i="1"/>
  <c r="E90" i="1"/>
  <c r="G9" i="1"/>
  <c r="G11" i="1"/>
  <c r="G12" i="1"/>
  <c r="E20" i="1" l="1"/>
  <c r="K16" i="1"/>
  <c r="K13" i="1"/>
  <c r="K25" i="1"/>
  <c r="K31" i="1"/>
  <c r="K8" i="1"/>
  <c r="K30" i="1"/>
  <c r="K14" i="1"/>
  <c r="K21" i="1"/>
  <c r="K27" i="1"/>
  <c r="K33" i="1"/>
  <c r="K23" i="1"/>
  <c r="K15" i="1"/>
  <c r="K29" i="1"/>
  <c r="K35" i="1"/>
  <c r="K24" i="1"/>
  <c r="E79" i="1"/>
  <c r="D108" i="4" l="1"/>
  <c r="E92" i="1"/>
  <c r="E91" i="1"/>
  <c r="E22" i="1"/>
  <c r="K20" i="1"/>
  <c r="E26" i="1" l="1"/>
  <c r="D94" i="4" s="1"/>
  <c r="K22" i="1"/>
  <c r="E28" i="1" l="1"/>
  <c r="D104" i="4" s="1"/>
  <c r="K26" i="1"/>
  <c r="K28" i="1" l="1"/>
  <c r="E32" i="1"/>
  <c r="K32" i="1" l="1"/>
  <c r="E34" i="1"/>
  <c r="K34" i="1" l="1"/>
  <c r="E36" i="1"/>
  <c r="E41" i="1"/>
  <c r="E44" i="1" s="1"/>
  <c r="K36" i="1" l="1"/>
  <c r="B85" i="1"/>
  <c r="G19" i="1"/>
  <c r="G18" i="1"/>
  <c r="G17" i="1"/>
  <c r="A40" i="1" l="1"/>
  <c r="B40" i="1"/>
  <c r="D40" i="1"/>
  <c r="D60" i="1" s="1"/>
  <c r="B42" i="1"/>
  <c r="C42" i="1"/>
  <c r="D42" i="1"/>
  <c r="B51" i="1"/>
  <c r="A60" i="1"/>
  <c r="B60" i="1"/>
  <c r="B78" i="1"/>
  <c r="C78" i="1"/>
  <c r="D78" i="1"/>
  <c r="C89" i="1"/>
  <c r="D89" i="1"/>
  <c r="E56" i="1" l="1"/>
  <c r="E51" i="1"/>
  <c r="C51" i="1"/>
  <c r="D51" i="1"/>
  <c r="B89" i="1"/>
  <c r="G34" i="1"/>
  <c r="G35" i="1"/>
  <c r="G36" i="1"/>
  <c r="G13" i="1"/>
  <c r="G31" i="1"/>
  <c r="G28" i="1"/>
  <c r="G14" i="1"/>
  <c r="G15" i="1"/>
  <c r="G5" i="1"/>
  <c r="H7" i="1"/>
  <c r="C7" i="1"/>
  <c r="J7" i="1"/>
  <c r="G8" i="1"/>
  <c r="G16" i="1"/>
  <c r="G20" i="1"/>
  <c r="G21" i="1"/>
  <c r="G22" i="1"/>
  <c r="G23" i="1"/>
  <c r="G24" i="1"/>
  <c r="G25" i="1"/>
  <c r="G26" i="1"/>
  <c r="G27" i="1"/>
  <c r="G29" i="1"/>
  <c r="G30" i="1"/>
  <c r="G32" i="1"/>
  <c r="G33" i="1"/>
  <c r="E46" i="1" l="1"/>
  <c r="E52" i="1" s="1"/>
  <c r="E55" i="1" s="1"/>
  <c r="E57" i="1" s="1"/>
  <c r="J9" i="1"/>
  <c r="J11" i="1"/>
  <c r="H9" i="1"/>
  <c r="H11" i="1"/>
  <c r="I9" i="1"/>
  <c r="I11" i="1"/>
  <c r="D79" i="1"/>
  <c r="I12" i="1"/>
  <c r="J12" i="1"/>
  <c r="H12" i="1"/>
  <c r="B79" i="1"/>
  <c r="C79" i="1"/>
  <c r="D90" i="1"/>
  <c r="B90" i="1"/>
  <c r="C40" i="1"/>
  <c r="C90" i="1"/>
  <c r="C56" i="1"/>
  <c r="D56" i="1"/>
  <c r="I7" i="1"/>
  <c r="C15" i="1"/>
  <c r="B15" i="1"/>
  <c r="H8" i="1" s="1"/>
  <c r="D15" i="1"/>
  <c r="J8" i="1" s="1"/>
  <c r="D106" i="4" l="1"/>
  <c r="D91" i="1"/>
  <c r="B93" i="1"/>
  <c r="C93" i="1"/>
  <c r="D93" i="1"/>
  <c r="B91" i="1"/>
  <c r="C91" i="1"/>
  <c r="D92" i="1"/>
  <c r="J14" i="1"/>
  <c r="J21" i="1"/>
  <c r="J29" i="1"/>
  <c r="J33" i="1"/>
  <c r="J13" i="1"/>
  <c r="J24" i="1"/>
  <c r="J16" i="1"/>
  <c r="J23" i="1"/>
  <c r="J27" i="1"/>
  <c r="J31" i="1"/>
  <c r="J35" i="1"/>
  <c r="J15" i="1"/>
  <c r="J30" i="1"/>
  <c r="J25" i="1"/>
  <c r="H16" i="1"/>
  <c r="H23" i="1"/>
  <c r="H27" i="1"/>
  <c r="H35" i="1"/>
  <c r="H15" i="1"/>
  <c r="H30" i="1"/>
  <c r="H14" i="1"/>
  <c r="H21" i="1"/>
  <c r="H29" i="1"/>
  <c r="H33" i="1"/>
  <c r="H13" i="1"/>
  <c r="H24" i="1"/>
  <c r="H31" i="1"/>
  <c r="H25" i="1"/>
  <c r="C20" i="1"/>
  <c r="I13" i="1"/>
  <c r="I24" i="1"/>
  <c r="I16" i="1"/>
  <c r="I23" i="1"/>
  <c r="I35" i="1"/>
  <c r="I27" i="1"/>
  <c r="I31" i="1"/>
  <c r="I15" i="1"/>
  <c r="I30" i="1"/>
  <c r="I14" i="1"/>
  <c r="I21" i="1"/>
  <c r="I29" i="1"/>
  <c r="I33" i="1"/>
  <c r="I25" i="1"/>
  <c r="I8" i="1"/>
  <c r="B92" i="1"/>
  <c r="C92" i="1"/>
  <c r="C60" i="1"/>
  <c r="B20" i="1"/>
  <c r="H20" i="1" s="1"/>
  <c r="D20" i="1"/>
  <c r="J20" i="1" s="1"/>
  <c r="C22" i="1" l="1"/>
  <c r="I20" i="1"/>
  <c r="B22" i="1"/>
  <c r="D22" i="1"/>
  <c r="J22" i="1" l="1"/>
  <c r="H22" i="1"/>
  <c r="I22" i="1"/>
  <c r="C26" i="1"/>
  <c r="B26" i="1"/>
  <c r="D92" i="4" s="1"/>
  <c r="D26" i="1"/>
  <c r="H26" i="1" l="1"/>
  <c r="J26" i="1"/>
  <c r="I26" i="1"/>
  <c r="C28" i="1"/>
  <c r="B28" i="1"/>
  <c r="D28" i="1"/>
  <c r="D102" i="4" l="1"/>
  <c r="J28" i="1"/>
  <c r="H28" i="1"/>
  <c r="C32" i="1"/>
  <c r="I28" i="1"/>
  <c r="B32" i="1"/>
  <c r="D32" i="1"/>
  <c r="J32" i="1" l="1"/>
  <c r="H32" i="1"/>
  <c r="I32" i="1"/>
  <c r="C34" i="1"/>
  <c r="D34" i="1"/>
  <c r="B34" i="1"/>
  <c r="I34" i="1" l="1"/>
  <c r="C41" i="1"/>
  <c r="C44" i="1" s="1"/>
  <c r="C46" i="1" s="1"/>
  <c r="C36" i="1"/>
  <c r="H34" i="1"/>
  <c r="J34" i="1"/>
  <c r="B41" i="1"/>
  <c r="B44" i="1" s="1"/>
  <c r="B46" i="1" s="1"/>
  <c r="D41" i="1"/>
  <c r="D44" i="1" s="1"/>
  <c r="D46" i="1" s="1"/>
  <c r="D36" i="1"/>
  <c r="B36" i="1"/>
  <c r="C52" i="1" l="1"/>
  <c r="C55" i="1" s="1"/>
  <c r="C57" i="1" s="1"/>
  <c r="D52" i="1"/>
  <c r="D55" i="1" s="1"/>
  <c r="D57" i="1" s="1"/>
  <c r="B52" i="1"/>
  <c r="B55" i="1" s="1"/>
  <c r="B57" i="1" s="1"/>
  <c r="H36" i="1"/>
  <c r="J36" i="1"/>
  <c r="I36" i="1"/>
</calcChain>
</file>

<file path=xl/sharedStrings.xml><?xml version="1.0" encoding="utf-8"?>
<sst xmlns="http://schemas.openxmlformats.org/spreadsheetml/2006/main" count="249" uniqueCount="193">
  <si>
    <t>Compte de résultat en %</t>
  </si>
  <si>
    <t>Chiffre d'affaires</t>
  </si>
  <si>
    <t>= Résultat avant impôt</t>
  </si>
  <si>
    <t>Tableau des flux de trésorerie</t>
  </si>
  <si>
    <t>+ Dotation aux amortissements</t>
  </si>
  <si>
    <t>= Capacité d’autofinancement</t>
  </si>
  <si>
    <t>= Flux d’exploitation (1)</t>
  </si>
  <si>
    <t>Flux de trésorerie disponible après charges financières (1)+(2)</t>
  </si>
  <si>
    <t>- Dividendes</t>
  </si>
  <si>
    <t>Bilan</t>
  </si>
  <si>
    <t>+ Immobilisations corporelles</t>
  </si>
  <si>
    <t>+ Immobilisations financières</t>
  </si>
  <si>
    <t>+ Clients</t>
  </si>
  <si>
    <t>- Fournisseurs</t>
  </si>
  <si>
    <t>+ Charges et produits sans incidence sur la trésorerie</t>
  </si>
  <si>
    <t>= Résultat d'exploitation</t>
  </si>
  <si>
    <t>Compte de résultat</t>
  </si>
  <si>
    <t>+ Eléments non récurrents</t>
  </si>
  <si>
    <t>= Réduction (augmentation) de l’endettement net</t>
  </si>
  <si>
    <t>= Valeur ajoutée</t>
  </si>
  <si>
    <t>- Trésorerie et équivalents de trésorerie</t>
  </si>
  <si>
    <t>+ Intérêts minoritaires</t>
  </si>
  <si>
    <t>Control</t>
  </si>
  <si>
    <t>- Variation du besoin en fonds de roulement d'exploitation</t>
  </si>
  <si>
    <t>Vérification</t>
  </si>
  <si>
    <t>= Besoin en fonds de roulement (2)</t>
  </si>
  <si>
    <t>+ Augmentation (réduction) de capital</t>
  </si>
  <si>
    <t>Dettes financières LT</t>
  </si>
  <si>
    <t>Stocks</t>
  </si>
  <si>
    <t>= Actifs immobilisés (1)</t>
  </si>
  <si>
    <t>Capitaux propres part du groupe</t>
  </si>
  <si>
    <t>+ Autres actifs d'exploitation</t>
  </si>
  <si>
    <t>- Autres dettes d'exploitation</t>
  </si>
  <si>
    <t>= Flux d'investissement (2)</t>
  </si>
  <si>
    <t>= Excédent brut d'exploitation</t>
  </si>
  <si>
    <t>+ Autres éléments financiers</t>
  </si>
  <si>
    <t xml:space="preserve"> </t>
  </si>
  <si>
    <t>Actifs hors exploitation</t>
  </si>
  <si>
    <t>+ Impôts différés passifs</t>
  </si>
  <si>
    <t>- Impôts différés actifs</t>
  </si>
  <si>
    <t>+ Produits nets des cessions</t>
  </si>
  <si>
    <t>- Coût de l'endettement net</t>
  </si>
  <si>
    <t xml:space="preserve">+/- Autres produits/ charges </t>
  </si>
  <si>
    <t xml:space="preserve">- Dotations aux amortissements </t>
  </si>
  <si>
    <t xml:space="preserve">- Investissements industriels </t>
  </si>
  <si>
    <t>= Endettement bancaire et financier net (5)</t>
  </si>
  <si>
    <t>- Intérêts minoritaires</t>
  </si>
  <si>
    <t>= Résultat net part du groupe</t>
  </si>
  <si>
    <t xml:space="preserve">- Charges de personnel </t>
  </si>
  <si>
    <t>= Marge brute</t>
  </si>
  <si>
    <t>Dont matières premières</t>
  </si>
  <si>
    <t>(Clôture des comptes le 31 décembre de chaque exercice)</t>
  </si>
  <si>
    <t xml:space="preserve">+ Dettes financières CT </t>
  </si>
  <si>
    <t>+ Production stockée</t>
  </si>
  <si>
    <t>= Production</t>
  </si>
  <si>
    <t>- Investissements financiers</t>
  </si>
  <si>
    <t>Actif économique = (1)+(2)+(3)</t>
  </si>
  <si>
    <t>+ Immobilisations incorporelles (fonds de commerce et autres)</t>
  </si>
  <si>
    <t>+ Production immobilisée</t>
  </si>
  <si>
    <t>Résultat net de l'ensemble consolidé</t>
  </si>
  <si>
    <t>Dont en-cours</t>
  </si>
  <si>
    <t>Dont intermédiaires et finis</t>
  </si>
  <si>
    <t xml:space="preserve">- Impôt sur les bénéfices </t>
  </si>
  <si>
    <t>= BFR hors exploitation (3)</t>
  </si>
  <si>
    <t>- Achats consommés</t>
  </si>
  <si>
    <t>En % de la production</t>
  </si>
  <si>
    <t>+ Immobilisations incorporelles (goodwill)</t>
  </si>
  <si>
    <t>dont consommation matières premieres</t>
  </si>
  <si>
    <t>dont autres</t>
  </si>
  <si>
    <t>- Passifs hors exploitation (fournisseurs d'immobilisations)</t>
  </si>
  <si>
    <t>+ Subventions et CIR</t>
  </si>
  <si>
    <t>= Capitaux propres (4)</t>
  </si>
  <si>
    <t>Capitaux investis = (4)+(5)</t>
  </si>
  <si>
    <t>- Variation du besoin en fonds de roulement hors exploitation</t>
  </si>
  <si>
    <t>Total</t>
  </si>
  <si>
    <t>En million de FCFA</t>
  </si>
  <si>
    <t>en millions de yards</t>
  </si>
  <si>
    <t>Croissance en volume</t>
  </si>
  <si>
    <t>Croissance en prix</t>
  </si>
  <si>
    <t>dont énergie</t>
  </si>
  <si>
    <t>+ Immobilisations incorporelles (brevet, licence, logiciel)</t>
  </si>
  <si>
    <t>- Charges externes (communication et autres)</t>
  </si>
  <si>
    <t>ANALYSE FINANCIERE - UNIWAX</t>
  </si>
  <si>
    <t>Croissance nominale</t>
  </si>
  <si>
    <t xml:space="preserve">- Impôts et taxes  </t>
  </si>
  <si>
    <t>Réponse</t>
  </si>
  <si>
    <t>Points</t>
  </si>
  <si>
    <t>Explication</t>
  </si>
  <si>
    <t>(Chiffre d'affaires 2018/ chiffre d'affaires 2015) ^ 0,333-1</t>
  </si>
  <si>
    <t>X</t>
  </si>
  <si>
    <t xml:space="preserve">Non saisonnière </t>
  </si>
  <si>
    <t>Certes, mais cela n'a rien à voir.</t>
  </si>
  <si>
    <t>Non, car les variations du BFR sont de l'ordre de 40 % de l'EBE de 2015 à 2018.</t>
  </si>
  <si>
    <t>Voir au-dessus.</t>
  </si>
  <si>
    <t>Factuellement faux lorsque l'on regarde l'historique des 4 dernières années.</t>
  </si>
  <si>
    <t>Quel est le principal facteur expliquant l'évolution de la rentabilité économique après impôt entre 2015 et 2018 ?</t>
  </si>
  <si>
    <t>La hausse de l'effet de levier.</t>
  </si>
  <si>
    <t>Par construction l'effet de levier n'a pas d'impact sur la rentabilité économique.</t>
  </si>
  <si>
    <t>La baisse de l'effet de levier.</t>
  </si>
  <si>
    <t>L’activité de Uniwax est-elle ?</t>
  </si>
  <si>
    <t>Calculez le ratio d’endettement bancaire et financier net par rapport à l’excédent brut d’exploitation d'Uniwax pour 2015. Avec un chiffre après la virgule :</t>
  </si>
  <si>
    <t>Calculez le ratio d’endettement bancaire et financier net par rapport à l’excédent brut d’exploitation d'Uniwax pour 2018. Avec un chiffre après la virgule :</t>
  </si>
  <si>
    <t>Oui, car Uniwax est à maturité.</t>
  </si>
  <si>
    <t>Non, car Uniwax est dans un métier où l'excédent brut d'exploitation est erratique.</t>
  </si>
  <si>
    <t>Calculez la rentabilité des capitaux propres de Uniwax pour 2016. Avec un chiffre après la virgule. Si vous avez trouvé 15 %, tapez 15 :</t>
  </si>
  <si>
    <t>Quel est le taux de croissance moyen annuel du chiffre d’affaires de Uniwax entre 2015 et 2018 ? Avec deux chiffres après la virgule. Si vous avez trouvé 15,483 %, tapez 15,48.</t>
  </si>
  <si>
    <t>Quel est le taux de croissance moyen annuel en volume des ventes de Uniwax entre 2015 et 2018 ? Avec deux chiffres après la virgule. Si vous avez trouvé 15,483 %, tapez 15,48.</t>
  </si>
  <si>
    <t>Oui</t>
  </si>
  <si>
    <t>Non</t>
  </si>
  <si>
    <t>Pensez-vous que Uniwax ait fait des cessions significatives de filiales entre 2015 et 2018 ?</t>
  </si>
  <si>
    <t>Déduisez de vos réponses aux quatre questions précédentes, quel a été le taux de croissance moyen annuel en prix des ventes de Uniwax entre 2015 et 2018 ? Avec deux chiffres après la virgule. Si vous avez trouvé 15,483 %, tapez 15,48.</t>
  </si>
  <si>
    <t>Non, car sinon on verrait au compte de résultat une plus ou moins-value exceptionnelle.</t>
  </si>
  <si>
    <t>On ne voit pas très bien au nom de quoi elle serait saisonnière ou cyclique pour un bien de consommation courante d'assez faible valeur unitaire qui correspond à un besoin de la vie courante (s'habiller).</t>
  </si>
  <si>
    <t>Calculez alors le point mort d'exploitation de Uniwax pour 2018, en reprenant les pourcentages estimés plus hauts et en considérant que le restant des coûts d'exploitation se partage à moitié entre coûts fixes et coûts variables.</t>
  </si>
  <si>
    <t>Calculez le ratio du BFR en jours de chiffre d’affaires (avec un taux de TVA de 18 %) pour 2015. Sans chiffre après la virgule :</t>
  </si>
  <si>
    <t>Calculez le ratio du BFR en jours de chiffre d’affaires (avec un taux de TVA de 18 %) pour 2016. Sans chiffre après la virgule :</t>
  </si>
  <si>
    <t>Besoin en fonds de roulement 2015 / Chiffre d'affaires 2015 / (1+ taux de TVA) *365. Voir le calcul de la case D sur cette ligne.</t>
  </si>
  <si>
    <t>Besoin en fonds de roulement 2016 / Chiffre d'affaires 2016 / (1+ taux de TVA) *365. Voir le calcul de la case D sur cette ligne.</t>
  </si>
  <si>
    <t>Calculez le ratio du BFR en jours de chiffre d’affaires (avec un taux de TVA de 18 %) pour 2017. Sans chiffre après la virgule :</t>
  </si>
  <si>
    <t>Calculez le ratio du BFR en jours de chiffre d’affaires (avec un taux de TVA de 18 %) pour 2018. Sans chiffre après la virgule :</t>
  </si>
  <si>
    <t>Besoin en fonds de roulement 2017 / Chiffre d'affaires 2017 / (1+ taux de TVA) *365. Voir le calcul de la case D sur cette ligne.</t>
  </si>
  <si>
    <t>Besoin en fonds de roulement 2018 / Chiffre d'affaires 2018 / (1+ taux de TVA) *365. Voir le calcul de la case D sur cette ligne.</t>
  </si>
  <si>
    <t>Calculez le délai de paiement moyen des clients au sens strict en jours de chiffre d'affaires pour 2016, sachant que le taux de TVA qui s’applique est de 18 %. Sans chiffre après la virgule :</t>
  </si>
  <si>
    <t>Clients 2016 / Chiffre d'affaires 2016 / (1+ taux de TVA) *365.Voir le calcul de la case D sur cette ligne.</t>
  </si>
  <si>
    <t>Calculez le délai de paiement moyen des fournisseurs au sens strict pour 2018 en jours de coût des achats consommés et autres charges externes sachant que le taux de TVA qui s’applique est de 18 %. Sans chiffre après la virgule :</t>
  </si>
  <si>
    <t>Calculez le délai de paiement moyen des fournisseurs au sens strict pour 2016 en jours de coût des achats consommés et autres charges externes sachant que le taux de TVA qui s’applique est de 18 %. Sans chiffre après la virgule :</t>
  </si>
  <si>
    <t>Calculez le délai de paiement moyen des fournisseurs au sens strict pour 2017 en jours de coût des achats consommés et autres charges externes sachant que le taux de TVA qui s’applique est de 18 %. Sans chiffre après la virgule :</t>
  </si>
  <si>
    <t>Calculez le délai de rotation des stocks de matière premières en jour d'achats consommés en 2015.</t>
  </si>
  <si>
    <t>Calculez le ratio des immobilisations corporelles nettes sur les immobilisations corporelles brutes pour 2018</t>
  </si>
  <si>
    <t>Fournisseurs / 1,18 / (Achats consommés + autres charges externes) * 365. Voir le calcul de la case D sur cette ligne.</t>
  </si>
  <si>
    <t>Dettes bancaires et financières nettes 2015 / Excédent brut d'exploitation 2015. Voir le calcul de la case D sur cette ligne.</t>
  </si>
  <si>
    <t>Dettes bancaires et financières nettes 2018 / Excédent brut d'exploitation 2018. Voir le calcul de la case D sur cette ligne.</t>
  </si>
  <si>
    <t>Oui, car les variations du BFR sont négligeables en représentant de l'ordre de 3 % de l'EBE, entre 2015 à 2018.</t>
  </si>
  <si>
    <t>Résultat d'exploitation x (1 - taux d'impôt sur les sociétés) / Montant comptable de l'actif économique.  Voir le calcul de la case D sur cette ligne.</t>
  </si>
  <si>
    <t>Calculez la rentabilité économique pour 2018 en utilisant comme taux de l’impôt sur les sociétés un taux d'impôt de 25 %. Avec un chiffre après la virgule. Si vous avez trouvé 15 %, tapez 15.</t>
  </si>
  <si>
    <t>Chiffre d'affaires / actif économique. Voir le calcul de la case D sur cette ligne.</t>
  </si>
  <si>
    <t>Calculez le taux de rotation de l’actif économique pour 2015. Avec un chiffre après la virgule :</t>
  </si>
  <si>
    <t>Calculez le taux de rotation de l’actif économique pour 2018. Avec un chiffre après la virgule :</t>
  </si>
  <si>
    <t>La baisse du taux d'impôt apparent.</t>
  </si>
  <si>
    <t>(Résultat net - éléments non récurrents) / Capitaux propres. Voir le calcul de la case D sur la ligne.</t>
  </si>
  <si>
    <t>Non, car sinon on verrait selon toute vraisemblance du goodwill ou du badwill parmi les immobilisations incorporelles du bilan. Il y aurait, par ailleurs, l'année de la première consolidation un bond du chiffre d'affaires du groupe qui intégrerait alors le chiffre d'affaires de la nouvelle filiale acquise.</t>
  </si>
  <si>
    <t>Les dotations aux amortissements sont  des coûts fixes qui ne varient que par plages d'activité</t>
  </si>
  <si>
    <t>Uniwax est proche de son point mort, ce qui n'est pas une grande surprise car ses marges d'exploitation sont copieuses.</t>
  </si>
  <si>
    <t>Uniwax est très éloigné de son point mort, ce qui n'est pas une grande surprise car ses marges d'exploitation sont copieuses.</t>
  </si>
  <si>
    <t>Que pensez-vous de la position de Uniwax par rapport à son point mort ?</t>
  </si>
  <si>
    <t>Quand on regarde le taux d'impôt sur les sociétés apparent de Uniwax sur les 4 années, on se rend compte qu'il est :</t>
  </si>
  <si>
    <t>En effet, le taux moyen apparent d'impôt sur les sociétés entre 2015 et 2018 ressort à 27,5 %, ce qui est un peu plus élevé que le taux ivoirien de 25 %.</t>
  </si>
  <si>
    <t>Stocks de matières premières/ achats consommés*365. Voir le calcul de la case D sur cette ligne.</t>
  </si>
  <si>
    <t>Stocks de produits finis/ chiffre d'affaires*365. Voir le calcul de la case D sur cette ligne.</t>
  </si>
  <si>
    <t>Immobilisations corporelles brutes</t>
  </si>
  <si>
    <t>En M de FCFA</t>
  </si>
  <si>
    <t>Calculez le ratio des immobilisations corporelles nettes sur les immobilisations corporelles brutes pour 2015. Sans chiffre après la virgule. Si vous avez trouvé 15,483 %, tapez 15.</t>
  </si>
  <si>
    <t>Immobilisations corporelles nettes/ immobilisations corporelles brutes. Voir le calcul de la case D sur cette ligne.</t>
  </si>
  <si>
    <t>Le cumul des EBE de 2015 à 2018 est de 29 Md FCFA et celui des variations du BFR de 1 Md FCFA, soit environ 3 % du solde précédent. La très grande majorité de l'EBE se transforme donc en flux de trésorerie sans être ponctionnée au passage par les variations du BFR, ce qui donne donc toute sa pertinence à ce ratio.</t>
  </si>
  <si>
    <t>Fortement cyclique</t>
  </si>
  <si>
    <t>Calculez la rentabilité économique pour 2016 en utilisant comme taux de l’impôt sur les sociétés un taux d'impôt de 25 %. Avec un chiffre après la virgule. Si vous avez trouvé 15 %, tapez 15.</t>
  </si>
  <si>
    <t>Pourquoi la rentabilité des capitaux propres en 2016 est-elle inférieure à la rentabilité économique de 2016 ?</t>
  </si>
  <si>
    <t>Parce que Uniwax est très endettée.</t>
  </si>
  <si>
    <t>Parce que vous avez fait une erreur de calcul.</t>
  </si>
  <si>
    <t>Parce que Uniwax a une dette négative et que l'effet de levier de la dette marche à l'envers</t>
  </si>
  <si>
    <t>Sans commentaire supplémentaire.</t>
  </si>
  <si>
    <t>Parce que le coût de la dette de Uniwax est supérieur à son taux de rentabilité économique.</t>
  </si>
  <si>
    <t>Je suis assez inquiet car Uniwax se rapproche de son point mort.</t>
  </si>
  <si>
    <t>Sans faire de calculs supplémentaires, pensez-vous qu'entre 2015 et 2018 Uniwax se soit :</t>
  </si>
  <si>
    <t>Éloignée de son point mort car sa marge d'exploitation s'est accrue.</t>
  </si>
  <si>
    <t>Éloignée de son point mort car sa marge d'exploitation s'est réduite.</t>
  </si>
  <si>
    <t>Rapprochée de son point mort car sa marge d'exploitation s'est accrue.</t>
  </si>
  <si>
    <t>Quand on se rapproche de son point mort, on amortit moins bien ses coûts fixes avec une marge sur coûts opérationnels qui baisse en montant absolu (en FCFA ici) ; des lors la marge d'exploitation baisse.</t>
  </si>
  <si>
    <t>Si vous deviez choisir entre ces 4 pourcentages pour la fraction des charges externes correspondant à des coûts variables, lequel choisiriez-vous ?</t>
  </si>
  <si>
    <t>Si vous deviez choisir entre ces 4 pourcentages pour la fraction des frais de personnel correspondant à des coûts variables, lequel choisiriez-vous ?</t>
  </si>
  <si>
    <t>Si vous deviez choisir entre ces 4 pourcentages pour la fraction des dotations aux  amortissements correspondant à des coûts variables, lequel choisiriez-vous ?</t>
  </si>
  <si>
    <t>Rapprochée de son point mort car sa marge d'exploitation s'est réduite.</t>
  </si>
  <si>
    <t>Proche du taux d'impôt sur les sociétés en Côte d'Ivoire (25 %) et que donc Uniwax est peu susceptible de faire de l'optimisation fiscale agressive.</t>
  </si>
  <si>
    <t>Éloigné du taux d'impôt sur les sociétés en Côte d'Ivoire (25 %) et que donc Uniwax est peu susceptible de faire de l'optimisation fiscale agressive.</t>
  </si>
  <si>
    <t>Proche du taux d'impôt sur les sociétés en Côte d'Ivoire (25 %), et que donc Uniwax fait probablement de l'optimisation fiscale agressive.</t>
  </si>
  <si>
    <t>Éloigné du taux d'impôt sur les sociétés en Côte d'Ivoire (25 %), et que donc Uniwax fait probablement de l'optimisation fiscale agressive.</t>
  </si>
  <si>
    <t>Ces ratios que vous venez de calculer aux deux questions précédentes sont-ils pertinents ?</t>
  </si>
  <si>
    <t>(Ventes en volume 2018/ ventes en volume 2015) ^ 0,333-1</t>
  </si>
  <si>
    <t>Les achats consommés varient logiquement avec l'activité, peut-être pas à 100 % totalement, mais probablement beaucoup plus qu'à 50 %.</t>
  </si>
  <si>
    <t>Quand l'activité d'une usine et de ses magasins baisse, certains postes peuvent être supprimés, les contrats d'intérimaires ne pas être renouvelés, mais surement pas pour 50 ou 100 % des effectifs !</t>
  </si>
  <si>
    <t>Point mort =  Couts fixes / taux de marge sur coûts variables en % du CA = ( 50 % des charges externes + 90 % des frais de personnel + 100 % des dotations aux amortissements  + 50 % des autres postes) / ( Ventes - 100 % des achats consommés - 50 % des charges externes - 10 % des frais de personnel - 50 % des autres postes)/ventes.   Voir le calcul de la case D sur cette ligne.</t>
  </si>
  <si>
    <t>Certaines charges externes sont des coûts fixes (comme la rémunération des auditeurs externes), d'autres sont des coûts variables comme les frais de publicité ou de logistique. Dès lors, 0 % et 100 % sont des réponses fausses. 10 % de coûts variables parait moins probable que 50 % puisque la charge externe donnée comme exemple sont les frais de communication qui sont variables.</t>
  </si>
  <si>
    <t>Si vous deviez choisir entre ces 4 pourcentages pour la fraction des achats consommés correspondant à des coûts variables, lequel choisiriez-vous ?</t>
  </si>
  <si>
    <t>Calculez le délai de rotation des stocks de produits finis et intermédiaires en jour de chiffre d'affaires en 2017.</t>
  </si>
  <si>
    <t>Comme l'illustre la baisse du taux de rotation de l'actif économique vue à la question précédente, elle est due à la progression des immobilisations corporelles du fait de l'extension de l'usine qui n'est pas encore entrée en phase de production.</t>
  </si>
  <si>
    <t>La baisse du taux de rotation de l'actif économique du fait de la réalisation des investissements non encore productifs.</t>
  </si>
  <si>
    <t>Être en 2018 à 38977/22295 - 1 = 75 % au dessus de son point mort est une situation très favorable, qui s'explique par l'importance de la marge opérationnelle à plus de 14 %, qui est le niveau des meilleurs groupes européens cotés en bourse d'une taille bien supérieure.</t>
  </si>
  <si>
    <t>Pensez-vous que Uniwax ait fait des acquisitions significatives de nouvelles filiales entre 2015 et 2018 ?</t>
  </si>
  <si>
    <t>Calculez le délai de paiement moyen des fournisseurs au sens strict pour 2015 en jours de coût des achats consommés et autres charges externes , sachant que le taux de TVA qui s’applique est de 18 %. Sans chiffre après la virgule :</t>
  </si>
  <si>
    <t xml:space="preserve">  Saisonnière  </t>
  </si>
  <si>
    <t xml:space="preserve"> Non cyclique </t>
  </si>
  <si>
    <t>Questions/réponses</t>
  </si>
  <si>
    <t>CORRIGE QUIZ PREALABLE UNIWAX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</si>
</sst>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 _F_-;\-* #,##0.00\ _F_-;_-* &quot;-&quot;??\ _F_-;_-@_-"/>
    <numFmt numFmtId="165" formatCode="0.0%"/>
    <numFmt numFmtId="166" formatCode="#,##0\ _F"/>
    <numFmt numFmtId="167" formatCode="#,##0.000\ _F"/>
    <numFmt numFmtId="168" formatCode="#,##0_);\ \(#,##0\);&quot;-&quot;_);@_)"/>
    <numFmt numFmtId="169" formatCode="0.0000"/>
    <numFmt numFmtId="170" formatCode="_-* #,##0\ _F_-;\-* #,##0\ _F_-;_-* &quot;-&quot;??\ _F_-;_-@_-"/>
    <numFmt numFmtId="171" formatCode="#,##0.0_);\ \(#,##0.0\);&quot;-&quot;_);@_)"/>
    <numFmt numFmtId="172" formatCode="#,##0.0"/>
    <numFmt numFmtId="173" formatCode="#,##0.000"/>
  </numFmts>
  <fonts count="18" x14ac:knownFonts="1">
    <font>
      <sz val="10"/>
      <name val="Arial"/>
      <family val="2"/>
    </font>
    <font>
      <sz val="10"/>
      <name val="Arial"/>
      <family val="2"/>
    </font>
    <font>
      <b/>
      <sz val="10"/>
      <name val="Arial"/>
      <family val="2"/>
    </font>
    <font>
      <sz val="8"/>
      <name val="Arial"/>
      <family val="2"/>
    </font>
    <font>
      <sz val="10"/>
      <name val="Arial"/>
      <family val="2"/>
    </font>
    <font>
      <b/>
      <sz val="12"/>
      <name val="Arial"/>
      <family val="2"/>
    </font>
    <font>
      <sz val="12"/>
      <name val="Arial"/>
      <family val="2"/>
    </font>
    <font>
      <b/>
      <sz val="12"/>
      <color indexed="9"/>
      <name val="Arial"/>
      <family val="2"/>
    </font>
    <font>
      <b/>
      <sz val="10"/>
      <color indexed="57"/>
      <name val="Arial"/>
      <family val="2"/>
    </font>
    <font>
      <b/>
      <sz val="16"/>
      <name val="Arial"/>
      <family val="2"/>
    </font>
    <font>
      <i/>
      <sz val="12"/>
      <name val="Arial"/>
      <family val="2"/>
    </font>
    <font>
      <b/>
      <i/>
      <sz val="12"/>
      <name val="Arial"/>
      <family val="2"/>
    </font>
    <font>
      <sz val="10"/>
      <color indexed="57"/>
      <name val="Arial"/>
      <family val="2"/>
    </font>
    <font>
      <b/>
      <sz val="12"/>
      <name val="Calibri"/>
      <family val="2"/>
      <scheme val="minor"/>
    </font>
    <font>
      <sz val="12"/>
      <name val="Calibri"/>
      <family val="2"/>
      <scheme val="minor"/>
    </font>
    <font>
      <sz val="12"/>
      <color theme="1"/>
      <name val="Calibri"/>
      <family val="2"/>
      <scheme val="minor"/>
    </font>
    <font>
      <b/>
      <sz val="12"/>
      <color theme="0"/>
      <name val="Calibri"/>
      <family val="2"/>
      <scheme val="minor"/>
    </font>
    <font>
      <b/>
      <sz val="16"/>
      <color theme="0"/>
      <name val="Calibri"/>
      <family val="2"/>
      <scheme val="minor"/>
    </font>
  </fonts>
  <fills count="7">
    <fill>
      <patternFill patternType="none"/>
    </fill>
    <fill>
      <patternFill patternType="gray125"/>
    </fill>
    <fill>
      <patternFill patternType="solid">
        <fgColor indexed="29"/>
        <bgColor indexed="64"/>
      </patternFill>
    </fill>
    <fill>
      <patternFill patternType="solid">
        <fgColor indexed="39"/>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5" tint="0.79998168889431442"/>
        <bgColor indexed="64"/>
      </patternFill>
    </fill>
  </fills>
  <borders count="15">
    <border>
      <left/>
      <right/>
      <top/>
      <bottom/>
      <diagonal/>
    </border>
    <border>
      <left/>
      <right/>
      <top style="thin">
        <color indexed="64"/>
      </top>
      <bottom style="thin">
        <color indexed="64"/>
      </bottom>
      <diagonal/>
    </border>
    <border>
      <left/>
      <right/>
      <top/>
      <bottom style="thin">
        <color indexed="64"/>
      </bottom>
      <diagonal/>
    </border>
    <border>
      <left/>
      <right/>
      <top/>
      <bottom style="thin">
        <color indexed="29"/>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57">
    <xf numFmtId="0" fontId="0" fillId="0" borderId="0" xfId="0"/>
    <xf numFmtId="0" fontId="4" fillId="0" borderId="0" xfId="0" applyFont="1" applyAlignment="1">
      <alignment vertical="center"/>
    </xf>
    <xf numFmtId="0" fontId="2"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2" borderId="0" xfId="0" applyFont="1" applyFill="1" applyBorder="1" applyAlignment="1">
      <alignment vertical="center"/>
    </xf>
    <xf numFmtId="0" fontId="5" fillId="0" borderId="0" xfId="0" applyFont="1" applyBorder="1" applyAlignment="1">
      <alignment vertical="center"/>
    </xf>
    <xf numFmtId="0" fontId="6" fillId="0" borderId="0" xfId="0" applyFont="1" applyBorder="1" applyAlignment="1">
      <alignment vertical="center" wrapText="1"/>
    </xf>
    <xf numFmtId="168" fontId="6" fillId="0" borderId="0" xfId="0" applyNumberFormat="1" applyFont="1" applyFill="1" applyBorder="1" applyAlignment="1">
      <alignment horizontal="center" vertical="center"/>
    </xf>
    <xf numFmtId="0" fontId="6" fillId="0" borderId="0" xfId="0" quotePrefix="1" applyFont="1" applyBorder="1" applyAlignment="1">
      <alignment vertical="center" wrapText="1"/>
    </xf>
    <xf numFmtId="0" fontId="6" fillId="0" borderId="0" xfId="0" applyFont="1" applyBorder="1" applyAlignment="1">
      <alignment vertical="center"/>
    </xf>
    <xf numFmtId="0" fontId="5" fillId="0" borderId="1" xfId="0" quotePrefix="1" applyFont="1" applyBorder="1" applyAlignment="1">
      <alignment vertical="center" wrapText="1"/>
    </xf>
    <xf numFmtId="0" fontId="5" fillId="0" borderId="0" xfId="0" quotePrefix="1" applyFont="1" applyBorder="1" applyAlignment="1">
      <alignment vertical="center" wrapText="1"/>
    </xf>
    <xf numFmtId="166" fontId="5" fillId="0" borderId="0" xfId="0" applyNumberFormat="1" applyFont="1" applyBorder="1" applyAlignment="1">
      <alignment horizontal="center" vertical="center"/>
    </xf>
    <xf numFmtId="0" fontId="6" fillId="0" borderId="0" xfId="0" applyFont="1" applyAlignment="1">
      <alignment vertical="center" wrapText="1"/>
    </xf>
    <xf numFmtId="167" fontId="6" fillId="0" borderId="0" xfId="0" applyNumberFormat="1" applyFont="1" applyAlignment="1">
      <alignment vertical="center"/>
    </xf>
    <xf numFmtId="0" fontId="7" fillId="0" borderId="0" xfId="0" applyNumberFormat="1" applyFont="1" applyFill="1" applyBorder="1" applyAlignment="1">
      <alignment horizontal="center" vertical="center"/>
    </xf>
    <xf numFmtId="166" fontId="5" fillId="0" borderId="0" xfId="0" applyNumberFormat="1" applyFont="1" applyFill="1" applyBorder="1" applyAlignment="1">
      <alignment horizontal="center" vertical="center"/>
    </xf>
    <xf numFmtId="0" fontId="5" fillId="0" borderId="1" xfId="0" applyFont="1" applyBorder="1" applyAlignment="1">
      <alignment vertical="center" wrapText="1"/>
    </xf>
    <xf numFmtId="9" fontId="6" fillId="0" borderId="0" xfId="2" applyNumberFormat="1" applyFont="1" applyFill="1" applyBorder="1" applyAlignment="1">
      <alignment horizontal="center" vertical="center"/>
    </xf>
    <xf numFmtId="3" fontId="6" fillId="0" borderId="0" xfId="0" applyNumberFormat="1" applyFont="1" applyAlignment="1">
      <alignment vertical="center"/>
    </xf>
    <xf numFmtId="0" fontId="8" fillId="0" borderId="0" xfId="0" applyFont="1" applyBorder="1" applyAlignment="1">
      <alignment vertical="center" wrapText="1"/>
    </xf>
    <xf numFmtId="168" fontId="8" fillId="0" borderId="0" xfId="0" applyNumberFormat="1" applyFont="1" applyFill="1" applyBorder="1" applyAlignment="1">
      <alignment horizontal="center" vertical="center"/>
    </xf>
    <xf numFmtId="0" fontId="6" fillId="0" borderId="2" xfId="0" applyFont="1" applyBorder="1" applyAlignment="1">
      <alignment vertical="center"/>
    </xf>
    <xf numFmtId="0" fontId="7" fillId="2" borderId="3" xfId="0" applyNumberFormat="1" applyFont="1" applyFill="1" applyBorder="1" applyAlignment="1">
      <alignment horizontal="center" vertical="center"/>
    </xf>
    <xf numFmtId="0" fontId="10" fillId="0" borderId="0" xfId="0" applyFont="1" applyBorder="1" applyAlignment="1">
      <alignment vertical="center" wrapText="1"/>
    </xf>
    <xf numFmtId="168" fontId="5" fillId="3" borderId="1" xfId="0" quotePrefix="1" applyNumberFormat="1" applyFont="1" applyFill="1" applyBorder="1" applyAlignment="1">
      <alignment horizontal="center" vertical="center"/>
    </xf>
    <xf numFmtId="168" fontId="6" fillId="3" borderId="0" xfId="0" applyNumberFormat="1" applyFont="1" applyFill="1" applyBorder="1" applyAlignment="1">
      <alignment horizontal="center" vertical="center"/>
    </xf>
    <xf numFmtId="168" fontId="5" fillId="3" borderId="1" xfId="0" applyNumberFormat="1" applyFont="1" applyFill="1" applyBorder="1" applyAlignment="1">
      <alignment horizontal="center" vertical="center"/>
    </xf>
    <xf numFmtId="168" fontId="6" fillId="3" borderId="0" xfId="2" applyNumberFormat="1" applyFont="1" applyFill="1" applyBorder="1" applyAlignment="1">
      <alignment horizontal="center" vertical="center"/>
    </xf>
    <xf numFmtId="168" fontId="5" fillId="3" borderId="0" xfId="0" applyNumberFormat="1" applyFont="1" applyFill="1" applyBorder="1" applyAlignment="1">
      <alignment horizontal="center" vertical="center"/>
    </xf>
    <xf numFmtId="168" fontId="10" fillId="3" borderId="0" xfId="0" applyNumberFormat="1" applyFont="1" applyFill="1" applyBorder="1" applyAlignment="1">
      <alignment horizontal="center" vertical="center"/>
    </xf>
    <xf numFmtId="165" fontId="6" fillId="3" borderId="0" xfId="2" applyNumberFormat="1" applyFont="1" applyFill="1" applyBorder="1" applyAlignment="1">
      <alignment horizontal="center" vertical="center"/>
    </xf>
    <xf numFmtId="165" fontId="5" fillId="3" borderId="1" xfId="2" applyNumberFormat="1" applyFont="1" applyFill="1" applyBorder="1" applyAlignment="1">
      <alignment horizontal="center" vertical="center"/>
    </xf>
    <xf numFmtId="0" fontId="9" fillId="0" borderId="2" xfId="0" applyFont="1" applyBorder="1" applyAlignment="1">
      <alignment vertical="center"/>
    </xf>
    <xf numFmtId="0" fontId="5" fillId="0" borderId="2" xfId="0" quotePrefix="1" applyFont="1" applyBorder="1" applyAlignment="1">
      <alignment vertical="center" wrapText="1"/>
    </xf>
    <xf numFmtId="0" fontId="4" fillId="0" borderId="4" xfId="0" applyFont="1" applyBorder="1" applyAlignment="1">
      <alignment vertical="center"/>
    </xf>
    <xf numFmtId="168" fontId="5" fillId="3" borderId="2" xfId="0" applyNumberFormat="1" applyFont="1" applyFill="1" applyBorder="1" applyAlignment="1">
      <alignment horizontal="center" vertical="center"/>
    </xf>
    <xf numFmtId="0" fontId="6" fillId="0" borderId="0" xfId="0" applyFont="1" applyAlignment="1">
      <alignment horizontal="center" vertical="center"/>
    </xf>
    <xf numFmtId="0" fontId="5" fillId="0" borderId="0" xfId="0" quotePrefix="1" applyFont="1" applyBorder="1" applyAlignment="1">
      <alignment horizontal="justify" vertical="center" wrapText="1"/>
    </xf>
    <xf numFmtId="0" fontId="6" fillId="0" borderId="1" xfId="0" quotePrefix="1" applyFont="1" applyBorder="1" applyAlignment="1">
      <alignment vertical="center" wrapText="1"/>
    </xf>
    <xf numFmtId="0" fontId="5" fillId="0" borderId="1" xfId="0" quotePrefix="1" applyFont="1" applyBorder="1" applyAlignment="1">
      <alignment horizontal="justify" vertical="center" wrapText="1"/>
    </xf>
    <xf numFmtId="0" fontId="7" fillId="2" borderId="0" xfId="0" applyNumberFormat="1" applyFont="1" applyFill="1" applyBorder="1" applyAlignment="1">
      <alignment horizontal="center" vertical="center"/>
    </xf>
    <xf numFmtId="165" fontId="6" fillId="0" borderId="0" xfId="2" applyNumberFormat="1" applyFont="1" applyFill="1" applyBorder="1" applyAlignment="1">
      <alignment horizontal="center" vertical="center"/>
    </xf>
    <xf numFmtId="0" fontId="5" fillId="0" borderId="0" xfId="0" applyFont="1" applyBorder="1" applyAlignment="1">
      <alignment vertical="center" wrapText="1"/>
    </xf>
    <xf numFmtId="9" fontId="6" fillId="0" borderId="0" xfId="2" applyFont="1" applyFill="1" applyBorder="1" applyAlignment="1">
      <alignment horizontal="center" vertical="center"/>
    </xf>
    <xf numFmtId="0" fontId="4" fillId="0" borderId="0" xfId="0" applyFont="1" applyFill="1" applyAlignment="1">
      <alignment vertical="center"/>
    </xf>
    <xf numFmtId="166" fontId="6" fillId="0" borderId="0" xfId="0" quotePrefix="1" applyNumberFormat="1" applyFont="1" applyBorder="1" applyAlignment="1">
      <alignment vertical="center" wrapText="1"/>
    </xf>
    <xf numFmtId="0" fontId="2" fillId="0" borderId="1" xfId="0" applyFont="1" applyBorder="1" applyAlignment="1">
      <alignment vertical="center"/>
    </xf>
    <xf numFmtId="168" fontId="10" fillId="3" borderId="0" xfId="0" applyNumberFormat="1" applyFont="1" applyFill="1" applyBorder="1" applyAlignment="1">
      <alignment horizontal="right" vertical="center"/>
    </xf>
    <xf numFmtId="168" fontId="6" fillId="0" borderId="0" xfId="2" applyNumberFormat="1" applyFont="1" applyFill="1" applyBorder="1" applyAlignment="1">
      <alignment horizontal="center" vertical="center"/>
    </xf>
    <xf numFmtId="0" fontId="6" fillId="0" borderId="0" xfId="0" applyFont="1" applyFill="1" applyBorder="1" applyAlignment="1">
      <alignment horizontal="center" vertical="center"/>
    </xf>
    <xf numFmtId="0" fontId="6" fillId="0" borderId="0" xfId="0" applyFont="1" applyFill="1" applyBorder="1" applyAlignment="1">
      <alignment vertical="center"/>
    </xf>
    <xf numFmtId="170" fontId="6" fillId="0" borderId="0" xfId="1" applyNumberFormat="1" applyFont="1" applyFill="1" applyBorder="1" applyAlignment="1">
      <alignment vertical="center"/>
    </xf>
    <xf numFmtId="168" fontId="5" fillId="0" borderId="0" xfId="0" applyNumberFormat="1" applyFont="1" applyFill="1" applyBorder="1" applyAlignment="1">
      <alignment horizontal="center" vertical="center"/>
    </xf>
    <xf numFmtId="168" fontId="5" fillId="0" borderId="0" xfId="0" quotePrefix="1" applyNumberFormat="1" applyFont="1" applyFill="1" applyBorder="1" applyAlignment="1">
      <alignment horizontal="center" vertical="center"/>
    </xf>
    <xf numFmtId="165" fontId="5" fillId="0" borderId="0" xfId="2" applyNumberFormat="1" applyFont="1" applyFill="1" applyBorder="1" applyAlignment="1">
      <alignment horizontal="center" vertical="center"/>
    </xf>
    <xf numFmtId="0" fontId="5" fillId="0" borderId="0" xfId="0" applyFont="1" applyFill="1" applyBorder="1" applyAlignment="1">
      <alignment vertical="center"/>
    </xf>
    <xf numFmtId="0" fontId="10" fillId="0" borderId="0" xfId="0" applyFont="1" applyFill="1" applyBorder="1" applyAlignment="1">
      <alignment horizontal="center" vertical="center"/>
    </xf>
    <xf numFmtId="170" fontId="6" fillId="0" borderId="0" xfId="0" applyNumberFormat="1" applyFont="1" applyFill="1" applyBorder="1" applyAlignment="1">
      <alignment vertical="center"/>
    </xf>
    <xf numFmtId="9" fontId="5" fillId="0" borderId="0" xfId="2" applyFont="1" applyFill="1" applyBorder="1" applyAlignment="1">
      <alignment horizontal="center" vertical="center"/>
    </xf>
    <xf numFmtId="166" fontId="5" fillId="0" borderId="0" xfId="0" applyNumberFormat="1" applyFont="1" applyFill="1" applyBorder="1" applyAlignment="1">
      <alignment vertical="center"/>
    </xf>
    <xf numFmtId="166" fontId="6" fillId="0" borderId="0" xfId="0" applyNumberFormat="1" applyFont="1" applyFill="1" applyBorder="1" applyAlignment="1">
      <alignment vertical="center"/>
    </xf>
    <xf numFmtId="169" fontId="6" fillId="0" borderId="0" xfId="0" applyNumberFormat="1" applyFont="1" applyFill="1" applyBorder="1" applyAlignment="1">
      <alignment vertical="center"/>
    </xf>
    <xf numFmtId="168" fontId="6" fillId="0" borderId="0" xfId="0" applyNumberFormat="1" applyFont="1" applyFill="1" applyBorder="1" applyAlignment="1">
      <alignment vertical="center"/>
    </xf>
    <xf numFmtId="168" fontId="6" fillId="3" borderId="0" xfId="0" applyNumberFormat="1" applyFont="1" applyFill="1" applyBorder="1" applyAlignment="1">
      <alignment horizontal="right" vertical="center"/>
    </xf>
    <xf numFmtId="0" fontId="2" fillId="0" borderId="2" xfId="0" applyFont="1" applyBorder="1" applyAlignment="1">
      <alignment vertical="center"/>
    </xf>
    <xf numFmtId="168" fontId="6" fillId="0" borderId="0" xfId="0" applyNumberFormat="1" applyFont="1" applyFill="1" applyBorder="1" applyAlignment="1">
      <alignment horizontal="left" vertical="center"/>
    </xf>
    <xf numFmtId="0" fontId="10" fillId="0" borderId="0" xfId="0" applyFont="1" applyFill="1" applyBorder="1" applyAlignment="1">
      <alignment vertical="center" wrapText="1"/>
    </xf>
    <xf numFmtId="168" fontId="5" fillId="0" borderId="0" xfId="0" applyNumberFormat="1" applyFont="1" applyFill="1" applyBorder="1" applyAlignment="1">
      <alignment horizontal="left" vertical="center"/>
    </xf>
    <xf numFmtId="168" fontId="11" fillId="3" borderId="1" xfId="0" applyNumberFormat="1" applyFont="1" applyFill="1" applyBorder="1" applyAlignment="1">
      <alignment horizontal="center" vertical="center"/>
    </xf>
    <xf numFmtId="166" fontId="6" fillId="3" borderId="0" xfId="0" applyNumberFormat="1" applyFont="1" applyFill="1" applyBorder="1" applyAlignment="1">
      <alignment horizontal="right" vertical="center"/>
    </xf>
    <xf numFmtId="168" fontId="6" fillId="0" borderId="0" xfId="0" applyNumberFormat="1" applyFont="1" applyFill="1" applyBorder="1" applyAlignment="1">
      <alignment horizontal="right" vertical="center"/>
    </xf>
    <xf numFmtId="0" fontId="5" fillId="0" borderId="0" xfId="0" applyFont="1" applyFill="1" applyBorder="1" applyAlignment="1">
      <alignment horizontal="center" vertical="center"/>
    </xf>
    <xf numFmtId="168" fontId="10" fillId="3" borderId="0" xfId="0" applyNumberFormat="1" applyFont="1" applyFill="1" applyBorder="1" applyAlignment="1">
      <alignment vertical="center"/>
    </xf>
    <xf numFmtId="168" fontId="6" fillId="3" borderId="1" xfId="0" applyNumberFormat="1" applyFont="1" applyFill="1" applyBorder="1" applyAlignment="1">
      <alignment horizontal="center" vertical="center"/>
    </xf>
    <xf numFmtId="0" fontId="2" fillId="0" borderId="0" xfId="0" applyFont="1" applyBorder="1" applyAlignment="1">
      <alignment vertical="center" wrapText="1"/>
    </xf>
    <xf numFmtId="0" fontId="6" fillId="0" borderId="0" xfId="0" quotePrefix="1" applyFont="1" applyFill="1" applyBorder="1" applyAlignment="1">
      <alignment vertical="center" wrapText="1"/>
    </xf>
    <xf numFmtId="165" fontId="5" fillId="0" borderId="1" xfId="2" quotePrefix="1" applyNumberFormat="1" applyFont="1" applyBorder="1" applyAlignment="1">
      <alignment vertical="center" wrapText="1"/>
    </xf>
    <xf numFmtId="165" fontId="6" fillId="0" borderId="1" xfId="2" quotePrefix="1" applyNumberFormat="1" applyFont="1" applyBorder="1" applyAlignment="1">
      <alignment vertical="center" wrapText="1"/>
    </xf>
    <xf numFmtId="165" fontId="5" fillId="0" borderId="1" xfId="2" quotePrefix="1" applyNumberFormat="1" applyFont="1" applyBorder="1" applyAlignment="1">
      <alignment horizontal="justify" vertical="center" wrapText="1"/>
    </xf>
    <xf numFmtId="165" fontId="6" fillId="0" borderId="0" xfId="2" quotePrefix="1" applyNumberFormat="1" applyFont="1" applyBorder="1" applyAlignment="1">
      <alignment vertical="center" wrapText="1"/>
    </xf>
    <xf numFmtId="9" fontId="6" fillId="3" borderId="0" xfId="2" applyNumberFormat="1" applyFont="1" applyFill="1" applyBorder="1" applyAlignment="1">
      <alignment horizontal="center" vertical="center"/>
    </xf>
    <xf numFmtId="165" fontId="5" fillId="0" borderId="0" xfId="2" quotePrefix="1" applyNumberFormat="1" applyFont="1" applyBorder="1" applyAlignment="1">
      <alignment horizontal="justify" vertical="center" wrapText="1"/>
    </xf>
    <xf numFmtId="0" fontId="12" fillId="0" borderId="0" xfId="0" applyFont="1" applyBorder="1" applyAlignment="1">
      <alignment vertical="center" wrapText="1"/>
    </xf>
    <xf numFmtId="166" fontId="6" fillId="0" borderId="0" xfId="0" applyNumberFormat="1" applyFont="1" applyFill="1" applyBorder="1" applyAlignment="1">
      <alignment horizontal="center" vertical="center"/>
    </xf>
    <xf numFmtId="0" fontId="4" fillId="0" borderId="0" xfId="0" applyFont="1" applyBorder="1" applyAlignment="1">
      <alignment vertical="center"/>
    </xf>
    <xf numFmtId="0" fontId="0" fillId="0" borderId="0" xfId="0" applyFont="1" applyAlignment="1">
      <alignment vertical="center"/>
    </xf>
    <xf numFmtId="165" fontId="10" fillId="3" borderId="0" xfId="2" applyNumberFormat="1" applyFont="1" applyFill="1" applyBorder="1" applyAlignment="1">
      <alignment horizontal="right" vertical="center"/>
    </xf>
    <xf numFmtId="171" fontId="6" fillId="3" borderId="0" xfId="0" applyNumberFormat="1" applyFont="1" applyFill="1" applyBorder="1" applyAlignment="1">
      <alignment horizontal="right" vertical="center"/>
    </xf>
    <xf numFmtId="168" fontId="6" fillId="3" borderId="6" xfId="0" applyNumberFormat="1" applyFont="1" applyFill="1" applyBorder="1" applyAlignment="1">
      <alignment horizontal="right" vertical="center"/>
    </xf>
    <xf numFmtId="168" fontId="6" fillId="3" borderId="5" xfId="0" applyNumberFormat="1" applyFont="1" applyFill="1" applyBorder="1" applyAlignment="1">
      <alignment horizontal="right" vertical="center"/>
    </xf>
    <xf numFmtId="0" fontId="2" fillId="0" borderId="0" xfId="0" applyFont="1" applyBorder="1" applyAlignment="1">
      <alignment vertical="center"/>
    </xf>
    <xf numFmtId="0" fontId="0" fillId="0" borderId="0" xfId="0" applyAlignment="1">
      <alignment horizontal="center"/>
    </xf>
    <xf numFmtId="0" fontId="0" fillId="0" borderId="2" xfId="0" applyBorder="1"/>
    <xf numFmtId="170" fontId="0" fillId="0" borderId="2" xfId="1" applyNumberFormat="1" applyFont="1" applyBorder="1"/>
    <xf numFmtId="0" fontId="0" fillId="4" borderId="1" xfId="0" applyFill="1" applyBorder="1"/>
    <xf numFmtId="0" fontId="0" fillId="4" borderId="1" xfId="0" applyFill="1" applyBorder="1" applyAlignment="1">
      <alignment horizontal="center"/>
    </xf>
    <xf numFmtId="0" fontId="13" fillId="0" borderId="0" xfId="0" applyFont="1" applyAlignment="1">
      <alignment vertical="center"/>
    </xf>
    <xf numFmtId="3" fontId="14" fillId="0" borderId="0" xfId="0" applyNumberFormat="1" applyFont="1" applyAlignment="1">
      <alignment vertical="center"/>
    </xf>
    <xf numFmtId="3" fontId="14" fillId="0" borderId="0" xfId="0" applyNumberFormat="1" applyFont="1" applyAlignment="1">
      <alignment horizontal="center" vertical="center"/>
    </xf>
    <xf numFmtId="0" fontId="14" fillId="0" borderId="0" xfId="0" applyFont="1" applyAlignment="1">
      <alignment vertical="center"/>
    </xf>
    <xf numFmtId="3" fontId="13" fillId="0" borderId="0" xfId="0" applyNumberFormat="1" applyFont="1" applyAlignment="1">
      <alignment horizontal="center" vertical="center"/>
    </xf>
    <xf numFmtId="0" fontId="13" fillId="0" borderId="0" xfId="0" applyFont="1" applyAlignment="1">
      <alignment horizontal="center" vertical="center"/>
    </xf>
    <xf numFmtId="0" fontId="14" fillId="0" borderId="0" xfId="0" applyFont="1"/>
    <xf numFmtId="0" fontId="13" fillId="0" borderId="0" xfId="0" applyFont="1" applyAlignment="1">
      <alignment horizontal="center"/>
    </xf>
    <xf numFmtId="0" fontId="17" fillId="5" borderId="7" xfId="0" applyFont="1" applyFill="1" applyBorder="1" applyAlignment="1">
      <alignment horizontal="center"/>
    </xf>
    <xf numFmtId="0" fontId="17" fillId="5" borderId="8" xfId="0" applyFont="1" applyFill="1" applyBorder="1" applyAlignment="1">
      <alignment horizontal="center"/>
    </xf>
    <xf numFmtId="0" fontId="17" fillId="5" borderId="9" xfId="0" applyFont="1" applyFill="1" applyBorder="1" applyAlignment="1">
      <alignment horizontal="center"/>
    </xf>
    <xf numFmtId="0" fontId="16" fillId="5" borderId="10" xfId="0" applyFont="1" applyFill="1" applyBorder="1" applyAlignment="1">
      <alignment horizontal="center" vertical="center"/>
    </xf>
    <xf numFmtId="0" fontId="16" fillId="5" borderId="0" xfId="0" applyFont="1" applyFill="1" applyBorder="1" applyAlignment="1">
      <alignment vertical="center" wrapText="1"/>
    </xf>
    <xf numFmtId="168" fontId="16" fillId="5" borderId="0" xfId="0" applyNumberFormat="1" applyFont="1" applyFill="1" applyBorder="1" applyAlignment="1">
      <alignment horizontal="center" vertical="center"/>
    </xf>
    <xf numFmtId="0" fontId="16" fillId="5" borderId="11" xfId="0" applyFont="1" applyFill="1" applyBorder="1" applyAlignment="1">
      <alignment vertical="center"/>
    </xf>
    <xf numFmtId="0" fontId="13" fillId="0" borderId="10" xfId="0" applyFont="1" applyBorder="1" applyAlignment="1">
      <alignment horizontal="center" vertical="center"/>
    </xf>
    <xf numFmtId="0" fontId="13" fillId="0" borderId="0" xfId="0" applyFont="1" applyBorder="1" applyAlignment="1">
      <alignment horizontal="justify" vertical="center"/>
    </xf>
    <xf numFmtId="3" fontId="14" fillId="0" borderId="0" xfId="0" applyNumberFormat="1" applyFont="1" applyBorder="1" applyAlignment="1">
      <alignment vertical="center"/>
    </xf>
    <xf numFmtId="3" fontId="13" fillId="0" borderId="0" xfId="0" applyNumberFormat="1" applyFont="1" applyBorder="1" applyAlignment="1">
      <alignment horizontal="center" vertical="center"/>
    </xf>
    <xf numFmtId="3" fontId="14" fillId="0" borderId="0" xfId="0" applyNumberFormat="1" applyFont="1" applyBorder="1" applyAlignment="1">
      <alignment horizontal="center" vertical="center"/>
    </xf>
    <xf numFmtId="0" fontId="14" fillId="0" borderId="11" xfId="0" applyFont="1" applyBorder="1" applyAlignment="1">
      <alignment vertical="center"/>
    </xf>
    <xf numFmtId="0" fontId="14" fillId="0" borderId="0" xfId="0" applyFont="1" applyBorder="1" applyAlignment="1">
      <alignment horizontal="justify" vertical="center"/>
    </xf>
    <xf numFmtId="4" fontId="13" fillId="0" borderId="0" xfId="0" applyNumberFormat="1" applyFont="1" applyBorder="1" applyAlignment="1">
      <alignment horizontal="center" vertical="center"/>
    </xf>
    <xf numFmtId="4" fontId="14" fillId="0" borderId="0" xfId="0" applyNumberFormat="1" applyFont="1" applyBorder="1" applyAlignment="1">
      <alignment horizontal="center" vertical="center"/>
    </xf>
    <xf numFmtId="0" fontId="13" fillId="6" borderId="10" xfId="0" applyFont="1" applyFill="1" applyBorder="1" applyAlignment="1">
      <alignment horizontal="center" vertical="center"/>
    </xf>
    <xf numFmtId="0" fontId="14" fillId="6" borderId="0" xfId="0" applyFont="1" applyFill="1" applyBorder="1" applyAlignment="1">
      <alignment horizontal="justify" vertical="center"/>
    </xf>
    <xf numFmtId="3" fontId="14" fillId="6" borderId="0" xfId="0" applyNumberFormat="1" applyFont="1" applyFill="1" applyBorder="1" applyAlignment="1">
      <alignment vertical="center"/>
    </xf>
    <xf numFmtId="4" fontId="13" fillId="6" borderId="0" xfId="0" applyNumberFormat="1" applyFont="1" applyFill="1" applyBorder="1" applyAlignment="1">
      <alignment horizontal="center" vertical="center"/>
    </xf>
    <xf numFmtId="4" fontId="14" fillId="6" borderId="0" xfId="0" applyNumberFormat="1" applyFont="1" applyFill="1" applyBorder="1" applyAlignment="1">
      <alignment horizontal="center" vertical="center"/>
    </xf>
    <xf numFmtId="3" fontId="14" fillId="6" borderId="0" xfId="0" applyNumberFormat="1" applyFont="1" applyFill="1" applyBorder="1" applyAlignment="1">
      <alignment horizontal="center" vertical="center"/>
    </xf>
    <xf numFmtId="0" fontId="14" fillId="6" borderId="11" xfId="0" applyFont="1" applyFill="1" applyBorder="1" applyAlignment="1">
      <alignment vertical="center"/>
    </xf>
    <xf numFmtId="0" fontId="14" fillId="0" borderId="11" xfId="0" applyFont="1" applyBorder="1" applyAlignment="1">
      <alignment vertical="center" wrapText="1"/>
    </xf>
    <xf numFmtId="3" fontId="13" fillId="6" borderId="0" xfId="0" applyNumberFormat="1" applyFont="1" applyFill="1" applyBorder="1" applyAlignment="1">
      <alignment horizontal="center" vertical="center"/>
    </xf>
    <xf numFmtId="0" fontId="14" fillId="6" borderId="11" xfId="0" applyFont="1" applyFill="1" applyBorder="1" applyAlignment="1">
      <alignment vertical="center" wrapText="1"/>
    </xf>
    <xf numFmtId="0" fontId="14" fillId="6" borderId="0" xfId="0" quotePrefix="1" applyFont="1" applyFill="1" applyBorder="1" applyAlignment="1">
      <alignment horizontal="justify" vertical="center"/>
    </xf>
    <xf numFmtId="3" fontId="14" fillId="6" borderId="11" xfId="0" applyNumberFormat="1" applyFont="1" applyFill="1" applyBorder="1" applyAlignment="1">
      <alignment horizontal="center" vertical="center"/>
    </xf>
    <xf numFmtId="0" fontId="14" fillId="0" borderId="0" xfId="0" quotePrefix="1" applyFont="1" applyBorder="1" applyAlignment="1">
      <alignment horizontal="justify" vertical="center"/>
    </xf>
    <xf numFmtId="9" fontId="14" fillId="0" borderId="0" xfId="2" applyFont="1" applyBorder="1" applyAlignment="1">
      <alignment horizontal="center" vertical="center"/>
    </xf>
    <xf numFmtId="0" fontId="14" fillId="0" borderId="0" xfId="0" applyFont="1" applyBorder="1"/>
    <xf numFmtId="0" fontId="13" fillId="0" borderId="0" xfId="0" applyFont="1" applyBorder="1" applyAlignment="1">
      <alignment horizontal="center" vertical="center"/>
    </xf>
    <xf numFmtId="0" fontId="15" fillId="0" borderId="0" xfId="0" quotePrefix="1" applyFont="1" applyBorder="1" applyAlignment="1">
      <alignment horizontal="justify" vertical="center"/>
    </xf>
    <xf numFmtId="0" fontId="14" fillId="6" borderId="11" xfId="0" applyFont="1" applyFill="1" applyBorder="1" applyAlignment="1">
      <alignment wrapText="1"/>
    </xf>
    <xf numFmtId="9" fontId="14" fillId="6" borderId="0" xfId="2" applyFont="1" applyFill="1" applyBorder="1" applyAlignment="1">
      <alignment horizontal="center" vertical="center"/>
    </xf>
    <xf numFmtId="0" fontId="14" fillId="6" borderId="0" xfId="0" applyFont="1" applyFill="1" applyBorder="1"/>
    <xf numFmtId="0" fontId="13" fillId="6" borderId="0" xfId="0" applyFont="1" applyFill="1" applyBorder="1" applyAlignment="1">
      <alignment horizontal="center" vertical="center"/>
    </xf>
    <xf numFmtId="172" fontId="14" fillId="0" borderId="0" xfId="0" applyNumberFormat="1" applyFont="1" applyBorder="1" applyAlignment="1">
      <alignment vertical="center"/>
    </xf>
    <xf numFmtId="0" fontId="14" fillId="0" borderId="0" xfId="0" applyFont="1" applyFill="1" applyBorder="1" applyAlignment="1">
      <alignment horizontal="justify" vertical="center"/>
    </xf>
    <xf numFmtId="172" fontId="13" fillId="6" borderId="0" xfId="0" applyNumberFormat="1" applyFont="1" applyFill="1" applyBorder="1" applyAlignment="1">
      <alignment horizontal="center" vertical="center"/>
    </xf>
    <xf numFmtId="172" fontId="14" fillId="6" borderId="0" xfId="0" applyNumberFormat="1" applyFont="1" applyFill="1" applyBorder="1" applyAlignment="1">
      <alignment vertical="center"/>
    </xf>
    <xf numFmtId="172" fontId="13" fillId="0" borderId="0" xfId="0" applyNumberFormat="1" applyFont="1" applyBorder="1" applyAlignment="1">
      <alignment horizontal="center" vertical="center"/>
    </xf>
    <xf numFmtId="173" fontId="14" fillId="0" borderId="0" xfId="0" applyNumberFormat="1" applyFont="1" applyBorder="1" applyAlignment="1">
      <alignment horizontal="center" vertical="center"/>
    </xf>
    <xf numFmtId="0" fontId="14" fillId="0" borderId="10" xfId="0" applyFont="1" applyBorder="1"/>
    <xf numFmtId="0" fontId="14" fillId="0" borderId="0" xfId="0" applyFont="1" applyBorder="1" applyAlignment="1">
      <alignment horizontal="left" vertical="center" wrapText="1"/>
    </xf>
    <xf numFmtId="0" fontId="14" fillId="0" borderId="12" xfId="0" applyFont="1" applyBorder="1"/>
    <xf numFmtId="0" fontId="14" fillId="0" borderId="13" xfId="0" applyFont="1" applyBorder="1" applyAlignment="1">
      <alignment horizontal="justify" vertical="center"/>
    </xf>
    <xf numFmtId="3" fontId="14" fillId="0" borderId="13" xfId="0" applyNumberFormat="1" applyFont="1" applyBorder="1" applyAlignment="1">
      <alignment vertical="center"/>
    </xf>
    <xf numFmtId="3" fontId="13" fillId="0" borderId="13" xfId="0" applyNumberFormat="1" applyFont="1" applyBorder="1" applyAlignment="1">
      <alignment horizontal="center" vertical="center"/>
    </xf>
    <xf numFmtId="3" fontId="14" fillId="0" borderId="13" xfId="0" applyNumberFormat="1" applyFont="1" applyBorder="1" applyAlignment="1">
      <alignment horizontal="center" vertical="center"/>
    </xf>
    <xf numFmtId="0" fontId="14" fillId="0" borderId="14" xfId="0" applyFont="1" applyBorder="1" applyAlignment="1">
      <alignment vertical="center"/>
    </xf>
  </cellXfs>
  <cellStyles count="3">
    <cellStyle name="Comma" xfId="1" builtinId="3"/>
    <cellStyle name="Normal" xfId="0" builtinId="0"/>
    <cellStyle name="Percent" xfId="2" builtinId="5"/>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205C"/>
      <rgbColor rgb="00C6DAFF"/>
      <rgbColor rgb="00999999"/>
      <rgbColor rgb="005C86D0"/>
      <rgbColor rgb="00DDDDDD"/>
      <rgbColor rgb="001D4791"/>
      <rgbColor rgb="004D4D4D"/>
      <rgbColor rgb="00E5EEFF"/>
      <rgbColor rgb="0000205C"/>
      <rgbColor rgb="00C6DAFF"/>
      <rgbColor rgb="00999999"/>
      <rgbColor rgb="005C86D0"/>
      <rgbColor rgb="00DDDDDD"/>
      <rgbColor rgb="001D4791"/>
      <rgbColor rgb="004D4D4D"/>
      <rgbColor rgb="00E5EEFF"/>
      <rgbColor rgb="0000CCFF"/>
      <rgbColor rgb="00CCFFFF"/>
      <rgbColor rgb="00CCFFCC"/>
      <rgbColor rgb="00FFFFCC"/>
      <rgbColor rgb="0099CCFF"/>
      <rgbColor rgb="00DDDDDD"/>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M202"/>
  <sheetViews>
    <sheetView showGridLines="0" zoomScale="130" zoomScaleNormal="130" workbookViewId="0">
      <selection activeCell="G5" sqref="G5"/>
    </sheetView>
  </sheetViews>
  <sheetFormatPr defaultColWidth="13.6328125" defaultRowHeight="23.25" customHeight="1" outlineLevelRow="1" x14ac:dyDescent="0.25"/>
  <cols>
    <col min="1" max="1" width="69" style="4" customWidth="1"/>
    <col min="2" max="6" width="11.1796875" style="4" customWidth="1"/>
    <col min="7" max="7" width="47.6328125" style="4" customWidth="1"/>
    <col min="8" max="8" width="10.1796875" style="52" customWidth="1"/>
    <col min="9" max="11" width="10.1796875" style="4" customWidth="1"/>
    <col min="12" max="16384" width="13.6328125" style="1"/>
  </cols>
  <sheetData>
    <row r="2" spans="1:11" ht="25.25" customHeight="1" x14ac:dyDescent="0.25">
      <c r="A2" s="34" t="s">
        <v>82</v>
      </c>
      <c r="B2" s="23"/>
    </row>
    <row r="3" spans="1:11" ht="23.25" customHeight="1" x14ac:dyDescent="0.25">
      <c r="J3" s="10"/>
    </row>
    <row r="4" spans="1:11" s="2" customFormat="1" ht="23.25" customHeight="1" x14ac:dyDescent="0.25">
      <c r="A4" s="3" t="s">
        <v>16</v>
      </c>
      <c r="B4" s="3"/>
      <c r="C4" s="3"/>
      <c r="D4" s="3"/>
      <c r="E4" s="3"/>
      <c r="F4" s="3"/>
      <c r="G4" s="3" t="s">
        <v>0</v>
      </c>
      <c r="H4" s="57"/>
      <c r="J4" s="6"/>
      <c r="K4" s="3"/>
    </row>
    <row r="5" spans="1:11" s="2" customFormat="1" ht="23.25" customHeight="1" x14ac:dyDescent="0.25">
      <c r="A5" s="3" t="s">
        <v>51</v>
      </c>
      <c r="B5" s="3"/>
      <c r="C5" s="3"/>
      <c r="D5" s="3"/>
      <c r="E5" s="3"/>
      <c r="F5" s="3"/>
      <c r="G5" s="3" t="str">
        <f>A5</f>
        <v>(Clôture des comptes le 31 décembre de chaque exercice)</v>
      </c>
      <c r="H5" s="57"/>
      <c r="J5" s="6"/>
      <c r="K5" s="3"/>
    </row>
    <row r="6" spans="1:11" ht="24" customHeight="1" x14ac:dyDescent="0.25">
      <c r="A6" s="4" t="s">
        <v>36</v>
      </c>
      <c r="B6" s="38" t="s">
        <v>36</v>
      </c>
      <c r="E6" s="4" t="s">
        <v>36</v>
      </c>
      <c r="J6" s="10"/>
    </row>
    <row r="7" spans="1:11" s="2" customFormat="1" ht="23.25" customHeight="1" x14ac:dyDescent="0.25">
      <c r="A7" s="5" t="s">
        <v>75</v>
      </c>
      <c r="B7" s="24">
        <v>2015</v>
      </c>
      <c r="C7" s="24">
        <f>1+B7</f>
        <v>2016</v>
      </c>
      <c r="D7" s="24">
        <v>2017</v>
      </c>
      <c r="E7" s="42">
        <v>2018</v>
      </c>
      <c r="F7" s="16"/>
      <c r="G7" s="5" t="s">
        <v>65</v>
      </c>
      <c r="H7" s="24">
        <f>B7</f>
        <v>2015</v>
      </c>
      <c r="I7" s="24">
        <f>C7</f>
        <v>2016</v>
      </c>
      <c r="J7" s="24">
        <f>D7</f>
        <v>2017</v>
      </c>
      <c r="K7" s="24">
        <f>E7</f>
        <v>2018</v>
      </c>
    </row>
    <row r="8" spans="1:11" ht="23.25" customHeight="1" x14ac:dyDescent="0.25">
      <c r="A8" s="44" t="s">
        <v>1</v>
      </c>
      <c r="B8" s="30">
        <v>39395</v>
      </c>
      <c r="C8" s="30">
        <v>37164</v>
      </c>
      <c r="D8" s="30">
        <v>37667</v>
      </c>
      <c r="E8" s="30">
        <v>38977</v>
      </c>
      <c r="F8" s="53"/>
      <c r="G8" s="7" t="str">
        <f>A8</f>
        <v>Chiffre d'affaires</v>
      </c>
      <c r="H8" s="32">
        <f>B8/B$15</f>
        <v>0.98979925127509361</v>
      </c>
      <c r="I8" s="32">
        <f>C8/C$15</f>
        <v>0.98213530655391124</v>
      </c>
      <c r="J8" s="32">
        <f>D8/D$15</f>
        <v>1.0147633287534685</v>
      </c>
      <c r="K8" s="32">
        <f>E8/E$15</f>
        <v>1.000153960637397</v>
      </c>
    </row>
    <row r="9" spans="1:11" s="87" customFormat="1" ht="25.25" customHeight="1" x14ac:dyDescent="0.25">
      <c r="A9" s="7" t="s">
        <v>76</v>
      </c>
      <c r="B9" s="89">
        <v>25.620999999999999</v>
      </c>
      <c r="C9" s="89">
        <f>D9/1.002</f>
        <v>23.922155688622752</v>
      </c>
      <c r="D9" s="89">
        <v>23.97</v>
      </c>
      <c r="E9" s="89">
        <v>25</v>
      </c>
      <c r="F9" s="53"/>
      <c r="G9" s="7" t="str">
        <f>A9</f>
        <v>en millions de yards</v>
      </c>
      <c r="H9" s="82">
        <f>B9/B$8</f>
        <v>6.5036172103058757E-4</v>
      </c>
      <c r="I9" s="82">
        <f>C9/C$8</f>
        <v>6.4369162868966614E-4</v>
      </c>
      <c r="J9" s="82">
        <f>D9/D$8</f>
        <v>6.3636604985796582E-4</v>
      </c>
      <c r="K9" s="82">
        <f>E9/E$8</f>
        <v>6.4140390486697283E-4</v>
      </c>
    </row>
    <row r="10" spans="1:11" s="87" customFormat="1" ht="25.25" customHeight="1" x14ac:dyDescent="0.25">
      <c r="A10" s="25" t="s">
        <v>83</v>
      </c>
      <c r="B10" s="89"/>
      <c r="C10" s="88">
        <f t="shared" ref="C10:E11" si="0">C8/B8-1</f>
        <v>-5.6631552227439985E-2</v>
      </c>
      <c r="D10" s="88">
        <f t="shared" si="0"/>
        <v>1.3534603379614651E-2</v>
      </c>
      <c r="E10" s="88">
        <f t="shared" si="0"/>
        <v>3.4778453288023981E-2</v>
      </c>
      <c r="F10" s="53"/>
      <c r="G10" s="7"/>
      <c r="H10" s="82"/>
      <c r="I10" s="82"/>
      <c r="J10" s="82"/>
      <c r="K10" s="82"/>
    </row>
    <row r="11" spans="1:11" ht="23.25" customHeight="1" x14ac:dyDescent="0.25">
      <c r="A11" s="25" t="s">
        <v>77</v>
      </c>
      <c r="B11" s="88">
        <f>B9/24-1</f>
        <v>6.7541666666666611E-2</v>
      </c>
      <c r="C11" s="88">
        <f t="shared" si="0"/>
        <v>-6.6306713687102281E-2</v>
      </c>
      <c r="D11" s="88">
        <f t="shared" si="0"/>
        <v>2.0000000000000018E-3</v>
      </c>
      <c r="E11" s="88">
        <f t="shared" si="0"/>
        <v>4.2970379641218193E-2</v>
      </c>
      <c r="F11" s="53"/>
      <c r="G11" s="7" t="str">
        <f t="shared" ref="G11:G36" si="1">A11</f>
        <v>Croissance en volume</v>
      </c>
      <c r="H11" s="82">
        <f t="shared" ref="H11:K12" si="2">B11/B$8</f>
        <v>1.7144730718788326E-6</v>
      </c>
      <c r="I11" s="82">
        <f t="shared" si="2"/>
        <v>-1.7841651514127188E-6</v>
      </c>
      <c r="J11" s="82">
        <f t="shared" si="2"/>
        <v>5.309687524889165E-8</v>
      </c>
      <c r="K11" s="82">
        <f t="shared" si="2"/>
        <v>1.1024547718197447E-6</v>
      </c>
    </row>
    <row r="12" spans="1:11" ht="23.25" customHeight="1" x14ac:dyDescent="0.25">
      <c r="A12" s="25" t="s">
        <v>78</v>
      </c>
      <c r="B12" s="49"/>
      <c r="C12" s="88">
        <f>(1+C10)/(1+C11)-1</f>
        <v>1.0362248075991731E-2</v>
      </c>
      <c r="D12" s="88">
        <f>(1+D10)/(1+D11)-1</f>
        <v>1.1511580219176309E-2</v>
      </c>
      <c r="E12" s="88">
        <f>(1+E10)/(1+E11)-1</f>
        <v>-7.8544189874426573E-3</v>
      </c>
      <c r="F12" s="53"/>
      <c r="G12" s="7" t="str">
        <f t="shared" si="1"/>
        <v>Croissance en prix</v>
      </c>
      <c r="H12" s="82">
        <f t="shared" si="2"/>
        <v>0</v>
      </c>
      <c r="I12" s="82">
        <f t="shared" si="2"/>
        <v>2.7882488634139842E-7</v>
      </c>
      <c r="J12" s="82">
        <f t="shared" si="2"/>
        <v>3.056144694076064E-7</v>
      </c>
      <c r="K12" s="82">
        <f t="shared" si="2"/>
        <v>-2.0151420036028062E-7</v>
      </c>
    </row>
    <row r="13" spans="1:11" ht="23.25" customHeight="1" x14ac:dyDescent="0.25">
      <c r="A13" s="9" t="s">
        <v>58</v>
      </c>
      <c r="B13" s="27"/>
      <c r="C13" s="27"/>
      <c r="D13" s="27"/>
      <c r="E13" s="27"/>
      <c r="F13" s="58"/>
      <c r="G13" s="25" t="str">
        <f t="shared" si="1"/>
        <v>+ Production immobilisée</v>
      </c>
      <c r="H13" s="32">
        <f t="shared" ref="H13:K16" si="3">B13/B$15</f>
        <v>0</v>
      </c>
      <c r="I13" s="32">
        <f t="shared" si="3"/>
        <v>0</v>
      </c>
      <c r="J13" s="32">
        <f t="shared" si="3"/>
        <v>0</v>
      </c>
      <c r="K13" s="32">
        <f t="shared" si="3"/>
        <v>0</v>
      </c>
    </row>
    <row r="14" spans="1:11" ht="23.25" customHeight="1" x14ac:dyDescent="0.25">
      <c r="A14" s="9" t="s">
        <v>53</v>
      </c>
      <c r="B14" s="27">
        <v>406</v>
      </c>
      <c r="C14" s="27">
        <v>676</v>
      </c>
      <c r="D14" s="27">
        <v>-548</v>
      </c>
      <c r="E14" s="27">
        <v>-6</v>
      </c>
      <c r="F14" s="58"/>
      <c r="G14" s="25" t="str">
        <f t="shared" si="1"/>
        <v>+ Production stockée</v>
      </c>
      <c r="H14" s="32">
        <f t="shared" si="3"/>
        <v>1.020074872490641E-2</v>
      </c>
      <c r="I14" s="32">
        <f t="shared" si="3"/>
        <v>1.7864693446088795E-2</v>
      </c>
      <c r="J14" s="32">
        <f t="shared" si="3"/>
        <v>-1.4763328753468575E-2</v>
      </c>
      <c r="K14" s="32">
        <f t="shared" si="3"/>
        <v>-1.5396063739703882E-4</v>
      </c>
    </row>
    <row r="15" spans="1:11" ht="23.25" customHeight="1" x14ac:dyDescent="0.25">
      <c r="A15" s="11" t="s">
        <v>54</v>
      </c>
      <c r="B15" s="70">
        <f t="shared" ref="B15:E15" si="4">B8+B14+B13</f>
        <v>39801</v>
      </c>
      <c r="C15" s="70">
        <f t="shared" si="4"/>
        <v>37840</v>
      </c>
      <c r="D15" s="70">
        <f t="shared" si="4"/>
        <v>37119</v>
      </c>
      <c r="E15" s="70">
        <f t="shared" si="4"/>
        <v>38971</v>
      </c>
      <c r="F15" s="58"/>
      <c r="G15" s="18" t="str">
        <f t="shared" si="1"/>
        <v>= Production</v>
      </c>
      <c r="H15" s="33">
        <f t="shared" si="3"/>
        <v>1</v>
      </c>
      <c r="I15" s="33">
        <f t="shared" si="3"/>
        <v>1</v>
      </c>
      <c r="J15" s="33">
        <f t="shared" si="3"/>
        <v>1</v>
      </c>
      <c r="K15" s="33">
        <f t="shared" si="3"/>
        <v>1</v>
      </c>
    </row>
    <row r="16" spans="1:11" ht="23.25" customHeight="1" x14ac:dyDescent="0.25">
      <c r="A16" s="9" t="s">
        <v>64</v>
      </c>
      <c r="B16" s="27">
        <f>SUM(B17:B19)</f>
        <v>23406</v>
      </c>
      <c r="C16" s="27">
        <f t="shared" ref="C16:E16" si="5">SUM(C17:C19)</f>
        <v>21668</v>
      </c>
      <c r="D16" s="27">
        <f t="shared" si="5"/>
        <v>22215</v>
      </c>
      <c r="E16" s="27">
        <f t="shared" si="5"/>
        <v>23847</v>
      </c>
      <c r="F16" s="59"/>
      <c r="G16" s="25" t="str">
        <f t="shared" si="1"/>
        <v>- Achats consommés</v>
      </c>
      <c r="H16" s="32">
        <f t="shared" si="3"/>
        <v>0.58807567649054049</v>
      </c>
      <c r="I16" s="32">
        <f t="shared" si="3"/>
        <v>0.57262156448202961</v>
      </c>
      <c r="J16" s="32">
        <f t="shared" si="3"/>
        <v>0.59848056251515391</v>
      </c>
      <c r="K16" s="32">
        <f t="shared" si="3"/>
        <v>0.61191655333453077</v>
      </c>
    </row>
    <row r="17" spans="1:11" ht="23.25" customHeight="1" x14ac:dyDescent="0.25">
      <c r="A17" s="9" t="s">
        <v>67</v>
      </c>
      <c r="B17" s="49">
        <f>18821-221</f>
        <v>18600</v>
      </c>
      <c r="C17" s="65">
        <f>17651-148</f>
        <v>17503</v>
      </c>
      <c r="D17" s="65">
        <f>18353+250</f>
        <v>18603</v>
      </c>
      <c r="E17" s="31">
        <f>20609+42</f>
        <v>20651</v>
      </c>
      <c r="F17" s="59"/>
      <c r="G17" s="25" t="str">
        <f t="shared" si="1"/>
        <v>dont consommation matières premieres</v>
      </c>
      <c r="H17" s="32"/>
      <c r="I17" s="32"/>
      <c r="J17" s="32"/>
      <c r="K17" s="32"/>
    </row>
    <row r="18" spans="1:11" ht="23.25" customHeight="1" x14ac:dyDescent="0.25">
      <c r="A18" s="9" t="s">
        <v>79</v>
      </c>
      <c r="B18" s="65">
        <v>3161</v>
      </c>
      <c r="C18" s="90">
        <f>4115-126+176</f>
        <v>4165</v>
      </c>
      <c r="D18" s="49">
        <f>3988-582+206</f>
        <v>3612</v>
      </c>
      <c r="E18" s="49">
        <f>3508-484+172</f>
        <v>3196</v>
      </c>
      <c r="F18" s="59"/>
      <c r="G18" s="25" t="str">
        <f t="shared" si="1"/>
        <v>dont énergie</v>
      </c>
      <c r="H18" s="32"/>
      <c r="I18" s="32"/>
      <c r="J18" s="32"/>
      <c r="K18" s="32"/>
    </row>
    <row r="19" spans="1:11" ht="23.25" customHeight="1" x14ac:dyDescent="0.25">
      <c r="A19" s="9" t="s">
        <v>68</v>
      </c>
      <c r="B19" s="65">
        <f>4878-245+173-B18</f>
        <v>1645</v>
      </c>
      <c r="C19" s="91"/>
      <c r="D19" s="65"/>
      <c r="E19" s="65"/>
      <c r="F19" s="59"/>
      <c r="G19" s="25" t="str">
        <f t="shared" si="1"/>
        <v>dont autres</v>
      </c>
      <c r="H19" s="32"/>
      <c r="I19" s="32"/>
      <c r="J19" s="32"/>
      <c r="K19" s="32"/>
    </row>
    <row r="20" spans="1:11" s="48" customFormat="1" ht="23.25" customHeight="1" x14ac:dyDescent="0.25">
      <c r="A20" s="11" t="s">
        <v>49</v>
      </c>
      <c r="B20" s="28">
        <f>B15-B16</f>
        <v>16395</v>
      </c>
      <c r="C20" s="28">
        <f>C15-C16</f>
        <v>16172</v>
      </c>
      <c r="D20" s="28">
        <f>D15-D16</f>
        <v>14904</v>
      </c>
      <c r="E20" s="28">
        <f>E15-E16</f>
        <v>15124</v>
      </c>
      <c r="F20" s="54"/>
      <c r="G20" s="18" t="str">
        <f t="shared" si="1"/>
        <v>= Marge brute</v>
      </c>
      <c r="H20" s="33">
        <f t="shared" ref="H20:H36" si="6">B20/B$15</f>
        <v>0.41192432350945957</v>
      </c>
      <c r="I20" s="33">
        <f t="shared" ref="I20:I36" si="7">C20/C$15</f>
        <v>0.42737843551797039</v>
      </c>
      <c r="J20" s="33">
        <f t="shared" ref="J20:J36" si="8">D20/D$15</f>
        <v>0.40151943748484603</v>
      </c>
      <c r="K20" s="33">
        <f t="shared" ref="K20:K36" si="9">E20/E$15</f>
        <v>0.38808344666546918</v>
      </c>
    </row>
    <row r="21" spans="1:11" ht="23.25" customHeight="1" x14ac:dyDescent="0.25">
      <c r="A21" s="9" t="s">
        <v>81</v>
      </c>
      <c r="B21" s="27">
        <v>3110</v>
      </c>
      <c r="C21" s="27">
        <v>3088</v>
      </c>
      <c r="D21" s="27">
        <v>2952</v>
      </c>
      <c r="E21" s="27">
        <v>3233</v>
      </c>
      <c r="F21" s="8"/>
      <c r="G21" s="9" t="str">
        <f t="shared" si="1"/>
        <v>- Charges externes (communication et autres)</v>
      </c>
      <c r="H21" s="32">
        <f t="shared" si="6"/>
        <v>7.8138740232657475E-2</v>
      </c>
      <c r="I21" s="32">
        <f t="shared" si="7"/>
        <v>8.1606765327695563E-2</v>
      </c>
      <c r="J21" s="32">
        <f t="shared" si="8"/>
        <v>7.9528004525983992E-2</v>
      </c>
      <c r="K21" s="32">
        <f t="shared" si="9"/>
        <v>8.2959123450771083E-2</v>
      </c>
    </row>
    <row r="22" spans="1:11" ht="23.25" customHeight="1" x14ac:dyDescent="0.25">
      <c r="A22" s="11" t="s">
        <v>19</v>
      </c>
      <c r="B22" s="28">
        <f>B20-B21</f>
        <v>13285</v>
      </c>
      <c r="C22" s="28">
        <f>C20-C21</f>
        <v>13084</v>
      </c>
      <c r="D22" s="28">
        <f>D20-D21</f>
        <v>11952</v>
      </c>
      <c r="E22" s="28">
        <f t="shared" ref="E22" si="10">E20-E21</f>
        <v>11891</v>
      </c>
      <c r="F22" s="54"/>
      <c r="G22" s="11" t="str">
        <f t="shared" si="1"/>
        <v>= Valeur ajoutée</v>
      </c>
      <c r="H22" s="33">
        <f t="shared" si="6"/>
        <v>0.33378558327680208</v>
      </c>
      <c r="I22" s="33">
        <f t="shared" si="7"/>
        <v>0.34577167019027483</v>
      </c>
      <c r="J22" s="33">
        <f t="shared" si="8"/>
        <v>0.32199143295886201</v>
      </c>
      <c r="K22" s="33">
        <f t="shared" si="9"/>
        <v>0.30512432321469812</v>
      </c>
    </row>
    <row r="23" spans="1:11" ht="23.25" customHeight="1" x14ac:dyDescent="0.25">
      <c r="A23" s="9" t="s">
        <v>48</v>
      </c>
      <c r="B23" s="29">
        <v>4795</v>
      </c>
      <c r="C23" s="29">
        <v>5063</v>
      </c>
      <c r="D23" s="29">
        <v>5187</v>
      </c>
      <c r="E23" s="29">
        <v>5250</v>
      </c>
      <c r="F23" s="50"/>
      <c r="G23" s="9" t="str">
        <f t="shared" si="1"/>
        <v xml:space="preserve">- Charges de personnel </v>
      </c>
      <c r="H23" s="32">
        <f t="shared" si="6"/>
        <v>0.120474359940705</v>
      </c>
      <c r="I23" s="32">
        <f t="shared" si="7"/>
        <v>0.13380021141649048</v>
      </c>
      <c r="J23" s="32">
        <f t="shared" si="8"/>
        <v>0.1397397559201487</v>
      </c>
      <c r="K23" s="32">
        <f t="shared" si="9"/>
        <v>0.13471555772240898</v>
      </c>
    </row>
    <row r="24" spans="1:11" ht="23.25" customHeight="1" x14ac:dyDescent="0.25">
      <c r="A24" s="9" t="s">
        <v>84</v>
      </c>
      <c r="B24" s="29">
        <v>583</v>
      </c>
      <c r="C24" s="29">
        <v>640</v>
      </c>
      <c r="D24" s="29">
        <v>592</v>
      </c>
      <c r="E24" s="29">
        <v>512</v>
      </c>
      <c r="F24" s="50"/>
      <c r="G24" s="9" t="str">
        <f t="shared" si="1"/>
        <v xml:space="preserve">- Impôts et taxes  </v>
      </c>
      <c r="H24" s="32">
        <f t="shared" si="6"/>
        <v>1.4647873169015854E-2</v>
      </c>
      <c r="I24" s="32">
        <f t="shared" si="7"/>
        <v>1.6913319238900635E-2</v>
      </c>
      <c r="J24" s="32">
        <f t="shared" si="8"/>
        <v>1.5948705514695977E-2</v>
      </c>
      <c r="K24" s="32">
        <f t="shared" si="9"/>
        <v>1.313797439121398E-2</v>
      </c>
    </row>
    <row r="25" spans="1:11" ht="23.25" customHeight="1" x14ac:dyDescent="0.25">
      <c r="A25" s="9" t="s">
        <v>42</v>
      </c>
      <c r="B25" s="29">
        <f>681-250</f>
        <v>431</v>
      </c>
      <c r="C25" s="29">
        <f>1723-1617</f>
        <v>106</v>
      </c>
      <c r="D25" s="29">
        <f>1947-1515</f>
        <v>432</v>
      </c>
      <c r="E25" s="29">
        <f>378-63</f>
        <v>315</v>
      </c>
      <c r="F25" s="50"/>
      <c r="G25" s="9" t="str">
        <f t="shared" si="1"/>
        <v xml:space="preserve">+/- Autres produits/ charges </v>
      </c>
      <c r="H25" s="32">
        <f t="shared" si="6"/>
        <v>1.0828873646390794E-2</v>
      </c>
      <c r="I25" s="32">
        <f t="shared" si="7"/>
        <v>2.8012684989429174E-3</v>
      </c>
      <c r="J25" s="32">
        <f t="shared" si="8"/>
        <v>1.1638244564778145E-2</v>
      </c>
      <c r="K25" s="32">
        <f t="shared" si="9"/>
        <v>8.0829334633445386E-3</v>
      </c>
    </row>
    <row r="26" spans="1:11" ht="23.25" customHeight="1" x14ac:dyDescent="0.25">
      <c r="A26" s="11" t="s">
        <v>34</v>
      </c>
      <c r="B26" s="28">
        <f>B22-B23-B24+B25</f>
        <v>8338</v>
      </c>
      <c r="C26" s="28">
        <f>C22-C23-C24+C25</f>
        <v>7487</v>
      </c>
      <c r="D26" s="28">
        <f>D22-D23-D24+D25</f>
        <v>6605</v>
      </c>
      <c r="E26" s="28">
        <f t="shared" ref="E26" si="11">E22-E23-E24+E25</f>
        <v>6444</v>
      </c>
      <c r="F26" s="54"/>
      <c r="G26" s="11" t="str">
        <f t="shared" si="1"/>
        <v>= Excédent brut d'exploitation</v>
      </c>
      <c r="H26" s="33">
        <f t="shared" si="6"/>
        <v>0.20949222381347202</v>
      </c>
      <c r="I26" s="33">
        <f t="shared" si="7"/>
        <v>0.19785940803382665</v>
      </c>
      <c r="J26" s="33">
        <f t="shared" si="8"/>
        <v>0.17794121608879548</v>
      </c>
      <c r="K26" s="33">
        <f t="shared" si="9"/>
        <v>0.16535372456441969</v>
      </c>
    </row>
    <row r="27" spans="1:11" ht="23.25" customHeight="1" x14ac:dyDescent="0.25">
      <c r="A27" s="9" t="s">
        <v>43</v>
      </c>
      <c r="B27" s="27">
        <v>1068</v>
      </c>
      <c r="C27" s="27">
        <v>1061</v>
      </c>
      <c r="D27" s="27">
        <v>1168</v>
      </c>
      <c r="E27" s="27">
        <f>2261-1328</f>
        <v>933</v>
      </c>
      <c r="F27" s="51"/>
      <c r="G27" s="9" t="str">
        <f t="shared" si="1"/>
        <v xml:space="preserve">- Dotations aux amortissements </v>
      </c>
      <c r="H27" s="32">
        <f t="shared" si="6"/>
        <v>2.6833496645812919E-2</v>
      </c>
      <c r="I27" s="32">
        <f t="shared" si="7"/>
        <v>2.8039112050739959E-2</v>
      </c>
      <c r="J27" s="32">
        <f t="shared" si="8"/>
        <v>3.1466364934400172E-2</v>
      </c>
      <c r="K27" s="32">
        <f t="shared" si="9"/>
        <v>2.3940879115239538E-2</v>
      </c>
    </row>
    <row r="28" spans="1:11" ht="23.25" customHeight="1" x14ac:dyDescent="0.25">
      <c r="A28" s="11" t="s">
        <v>15</v>
      </c>
      <c r="B28" s="28">
        <f>B26-B27</f>
        <v>7270</v>
      </c>
      <c r="C28" s="28">
        <f t="shared" ref="C28:E28" si="12">C26-C27</f>
        <v>6426</v>
      </c>
      <c r="D28" s="28">
        <f t="shared" si="12"/>
        <v>5437</v>
      </c>
      <c r="E28" s="28">
        <f t="shared" si="12"/>
        <v>5511</v>
      </c>
      <c r="F28" s="54"/>
      <c r="G28" s="11" t="str">
        <f t="shared" si="1"/>
        <v>= Résultat d'exploitation</v>
      </c>
      <c r="H28" s="33">
        <f t="shared" si="6"/>
        <v>0.1826587271676591</v>
      </c>
      <c r="I28" s="33">
        <f t="shared" si="7"/>
        <v>0.16982029598308668</v>
      </c>
      <c r="J28" s="33">
        <f t="shared" si="8"/>
        <v>0.14647485115439532</v>
      </c>
      <c r="K28" s="33">
        <f t="shared" si="9"/>
        <v>0.14141284544918015</v>
      </c>
    </row>
    <row r="29" spans="1:11" ht="23.25" customHeight="1" x14ac:dyDescent="0.25">
      <c r="A29" s="9" t="s">
        <v>41</v>
      </c>
      <c r="B29" s="27">
        <f>591-77</f>
        <v>514</v>
      </c>
      <c r="C29" s="27">
        <f>224</f>
        <v>224</v>
      </c>
      <c r="D29" s="27">
        <v>38</v>
      </c>
      <c r="E29" s="27">
        <f>99-67</f>
        <v>32</v>
      </c>
      <c r="F29" s="52"/>
      <c r="G29" s="9" t="str">
        <f t="shared" si="1"/>
        <v>- Coût de l'endettement net</v>
      </c>
      <c r="H29" s="32">
        <f t="shared" si="6"/>
        <v>1.2914248385718951E-2</v>
      </c>
      <c r="I29" s="32">
        <f t="shared" si="7"/>
        <v>5.9196617336152221E-3</v>
      </c>
      <c r="J29" s="32">
        <f t="shared" si="8"/>
        <v>1.023734475605485E-3</v>
      </c>
      <c r="K29" s="32">
        <f t="shared" si="9"/>
        <v>8.2112339945087374E-4</v>
      </c>
    </row>
    <row r="30" spans="1:11" ht="23.25" customHeight="1" x14ac:dyDescent="0.25">
      <c r="A30" s="9" t="s">
        <v>35</v>
      </c>
      <c r="B30" s="27">
        <f>-157-570</f>
        <v>-727</v>
      </c>
      <c r="C30" s="27">
        <f>45-190+3</f>
        <v>-142</v>
      </c>
      <c r="D30" s="27">
        <f>162-115</f>
        <v>47</v>
      </c>
      <c r="E30" s="27"/>
      <c r="F30" s="52"/>
      <c r="G30" s="9" t="str">
        <f t="shared" si="1"/>
        <v>+ Autres éléments financiers</v>
      </c>
      <c r="H30" s="32">
        <f t="shared" si="6"/>
        <v>-1.8265872716765909E-2</v>
      </c>
      <c r="I30" s="32">
        <f t="shared" si="7"/>
        <v>-3.7526427061310781E-3</v>
      </c>
      <c r="J30" s="32">
        <f t="shared" si="8"/>
        <v>1.2661979040383632E-3</v>
      </c>
      <c r="K30" s="32">
        <f t="shared" si="9"/>
        <v>0</v>
      </c>
    </row>
    <row r="31" spans="1:11" ht="23.25" customHeight="1" x14ac:dyDescent="0.25">
      <c r="A31" s="9" t="s">
        <v>17</v>
      </c>
      <c r="B31" s="27">
        <v>6</v>
      </c>
      <c r="C31" s="27">
        <f>6-15</f>
        <v>-9</v>
      </c>
      <c r="D31" s="27">
        <v>6</v>
      </c>
      <c r="E31" s="27">
        <v>1</v>
      </c>
      <c r="F31" s="52"/>
      <c r="G31" s="9" t="str">
        <f t="shared" si="1"/>
        <v>+ Eléments non récurrents</v>
      </c>
      <c r="H31" s="32">
        <f t="shared" si="6"/>
        <v>1.5074998115625234E-4</v>
      </c>
      <c r="I31" s="32">
        <f t="shared" si="7"/>
        <v>-2.3784355179704017E-4</v>
      </c>
      <c r="J31" s="32">
        <f t="shared" si="8"/>
        <v>1.616422856219187E-4</v>
      </c>
      <c r="K31" s="32">
        <f t="shared" si="9"/>
        <v>2.5660106232839804E-5</v>
      </c>
    </row>
    <row r="32" spans="1:11" ht="23.25" customHeight="1" x14ac:dyDescent="0.25">
      <c r="A32" s="11" t="s">
        <v>2</v>
      </c>
      <c r="B32" s="28">
        <f>B28-B29+B30+B31</f>
        <v>6035</v>
      </c>
      <c r="C32" s="28">
        <f>C28-C29+C30+C31</f>
        <v>6051</v>
      </c>
      <c r="D32" s="28">
        <f>D28-D29+D30+D31</f>
        <v>5452</v>
      </c>
      <c r="E32" s="28">
        <f>E28-E29+E30+E31</f>
        <v>5480</v>
      </c>
      <c r="F32" s="54"/>
      <c r="G32" s="11" t="str">
        <f t="shared" si="1"/>
        <v>= Résultat avant impôt</v>
      </c>
      <c r="H32" s="33">
        <f t="shared" si="6"/>
        <v>0.15162935604633049</v>
      </c>
      <c r="I32" s="33">
        <f t="shared" si="7"/>
        <v>0.15991014799154335</v>
      </c>
      <c r="J32" s="33">
        <f t="shared" si="8"/>
        <v>0.14687895686845012</v>
      </c>
      <c r="K32" s="33">
        <f t="shared" si="9"/>
        <v>0.14061738215596212</v>
      </c>
    </row>
    <row r="33" spans="1:11" ht="23.25" customHeight="1" x14ac:dyDescent="0.25">
      <c r="A33" s="9" t="s">
        <v>62</v>
      </c>
      <c r="B33" s="27">
        <v>1678</v>
      </c>
      <c r="C33" s="27">
        <v>1967</v>
      </c>
      <c r="D33" s="27">
        <v>1435</v>
      </c>
      <c r="E33" s="27">
        <v>1283</v>
      </c>
      <c r="F33" s="53"/>
      <c r="G33" s="81" t="str">
        <f t="shared" si="1"/>
        <v xml:space="preserve">- Impôt sur les bénéfices </v>
      </c>
      <c r="H33" s="32">
        <f t="shared" si="6"/>
        <v>4.2159744730031909E-2</v>
      </c>
      <c r="I33" s="32">
        <f t="shared" si="7"/>
        <v>5.1982029598308666E-2</v>
      </c>
      <c r="J33" s="32">
        <f t="shared" si="8"/>
        <v>3.8659446644575553E-2</v>
      </c>
      <c r="K33" s="32">
        <f t="shared" si="9"/>
        <v>3.2921916296733467E-2</v>
      </c>
    </row>
    <row r="34" spans="1:11" ht="23.25" customHeight="1" x14ac:dyDescent="0.25">
      <c r="A34" s="11" t="s">
        <v>59</v>
      </c>
      <c r="B34" s="28">
        <f>B32-B33</f>
        <v>4357</v>
      </c>
      <c r="C34" s="28">
        <f t="shared" ref="C34:E34" si="13">C32-C33</f>
        <v>4084</v>
      </c>
      <c r="D34" s="28">
        <f t="shared" si="13"/>
        <v>4017</v>
      </c>
      <c r="E34" s="28">
        <f t="shared" si="13"/>
        <v>4197</v>
      </c>
      <c r="F34" s="54"/>
      <c r="G34" s="78" t="str">
        <f t="shared" si="1"/>
        <v>Résultat net de l'ensemble consolidé</v>
      </c>
      <c r="H34" s="33">
        <f t="shared" si="6"/>
        <v>0.10946961131629858</v>
      </c>
      <c r="I34" s="33">
        <f t="shared" si="7"/>
        <v>0.10792811839323467</v>
      </c>
      <c r="J34" s="33">
        <f t="shared" si="8"/>
        <v>0.10821951022387456</v>
      </c>
      <c r="K34" s="33">
        <f t="shared" si="9"/>
        <v>0.10769546585922865</v>
      </c>
    </row>
    <row r="35" spans="1:11" ht="22.25" customHeight="1" x14ac:dyDescent="0.25">
      <c r="A35" s="40" t="s">
        <v>46</v>
      </c>
      <c r="B35" s="75"/>
      <c r="C35" s="75"/>
      <c r="D35" s="75">
        <v>0</v>
      </c>
      <c r="E35" s="75">
        <v>0</v>
      </c>
      <c r="F35" s="52"/>
      <c r="G35" s="79" t="str">
        <f t="shared" si="1"/>
        <v>- Intérêts minoritaires</v>
      </c>
      <c r="H35" s="32">
        <f t="shared" si="6"/>
        <v>0</v>
      </c>
      <c r="I35" s="32">
        <f t="shared" si="7"/>
        <v>0</v>
      </c>
      <c r="J35" s="32">
        <f t="shared" si="8"/>
        <v>0</v>
      </c>
      <c r="K35" s="32">
        <f t="shared" si="9"/>
        <v>0</v>
      </c>
    </row>
    <row r="36" spans="1:11" ht="20.25" customHeight="1" x14ac:dyDescent="0.25">
      <c r="A36" s="41" t="s">
        <v>47</v>
      </c>
      <c r="B36" s="28">
        <f>B34-B35</f>
        <v>4357</v>
      </c>
      <c r="C36" s="28">
        <f>C34-C35</f>
        <v>4084</v>
      </c>
      <c r="D36" s="28">
        <f>D34-D35</f>
        <v>4017</v>
      </c>
      <c r="E36" s="28">
        <f>E34-E35</f>
        <v>4197</v>
      </c>
      <c r="F36" s="17"/>
      <c r="G36" s="80" t="str">
        <f t="shared" si="1"/>
        <v>= Résultat net part du groupe</v>
      </c>
      <c r="H36" s="33">
        <f t="shared" si="6"/>
        <v>0.10946961131629858</v>
      </c>
      <c r="I36" s="33">
        <f t="shared" si="7"/>
        <v>0.10792811839323467</v>
      </c>
      <c r="J36" s="33">
        <f t="shared" si="8"/>
        <v>0.10821951022387456</v>
      </c>
      <c r="K36" s="33">
        <f t="shared" si="9"/>
        <v>0.10769546585922865</v>
      </c>
    </row>
    <row r="37" spans="1:11" ht="20.25" customHeight="1" x14ac:dyDescent="0.25">
      <c r="A37" s="39"/>
      <c r="B37" s="54"/>
      <c r="C37" s="54"/>
      <c r="D37" s="54" t="s">
        <v>36</v>
      </c>
      <c r="E37" s="54"/>
      <c r="F37" s="17"/>
      <c r="G37" s="83"/>
      <c r="H37" s="56"/>
      <c r="I37" s="56"/>
      <c r="J37" s="56"/>
      <c r="K37" s="56"/>
    </row>
    <row r="38" spans="1:11" ht="20.25" customHeight="1" x14ac:dyDescent="0.25">
      <c r="A38" s="3" t="s">
        <v>3</v>
      </c>
      <c r="B38" s="15"/>
      <c r="C38" s="15"/>
      <c r="D38" s="15"/>
      <c r="E38" s="15"/>
      <c r="F38" s="17"/>
      <c r="G38" s="47"/>
      <c r="H38" s="10"/>
    </row>
    <row r="39" spans="1:11" ht="20.25" customHeight="1" x14ac:dyDescent="0.25">
      <c r="A39" s="14"/>
      <c r="F39" s="60"/>
      <c r="G39" s="9" t="s">
        <v>36</v>
      </c>
      <c r="H39" s="10"/>
    </row>
    <row r="40" spans="1:11" s="46" customFormat="1" ht="20.25" customHeight="1" x14ac:dyDescent="0.25">
      <c r="A40" s="5" t="str">
        <f t="shared" ref="A40:E40" si="14">A7</f>
        <v>En million de FCFA</v>
      </c>
      <c r="B40" s="24">
        <f t="shared" si="14"/>
        <v>2015</v>
      </c>
      <c r="C40" s="24">
        <f t="shared" si="14"/>
        <v>2016</v>
      </c>
      <c r="D40" s="24">
        <f t="shared" si="14"/>
        <v>2017</v>
      </c>
      <c r="E40" s="24">
        <f t="shared" si="14"/>
        <v>2018</v>
      </c>
      <c r="F40" s="60"/>
      <c r="G40" s="68"/>
      <c r="H40" s="8"/>
      <c r="I40" s="8"/>
      <c r="J40" s="8"/>
      <c r="K40" s="8"/>
    </row>
    <row r="41" spans="1:11" s="2" customFormat="1" ht="23.25" customHeight="1" x14ac:dyDescent="0.25">
      <c r="A41" s="7" t="s">
        <v>59</v>
      </c>
      <c r="B41" s="27">
        <f t="shared" ref="B41:E41" si="15">B34</f>
        <v>4357</v>
      </c>
      <c r="C41" s="27">
        <f t="shared" si="15"/>
        <v>4084</v>
      </c>
      <c r="D41" s="27">
        <f t="shared" si="15"/>
        <v>4017</v>
      </c>
      <c r="E41" s="27">
        <f t="shared" si="15"/>
        <v>4197</v>
      </c>
      <c r="F41" s="57"/>
      <c r="G41" s="69"/>
      <c r="H41" s="54"/>
      <c r="I41" s="54"/>
      <c r="J41" s="54"/>
      <c r="K41" s="54"/>
    </row>
    <row r="42" spans="1:11" s="2" customFormat="1" ht="23.25" customHeight="1" x14ac:dyDescent="0.25">
      <c r="A42" s="9" t="s">
        <v>4</v>
      </c>
      <c r="B42" s="27">
        <f t="shared" ref="B42:E42" si="16">B27</f>
        <v>1068</v>
      </c>
      <c r="C42" s="27">
        <f t="shared" si="16"/>
        <v>1061</v>
      </c>
      <c r="D42" s="27">
        <f t="shared" si="16"/>
        <v>1168</v>
      </c>
      <c r="E42" s="27">
        <f t="shared" si="16"/>
        <v>933</v>
      </c>
      <c r="F42" s="57"/>
      <c r="G42" s="57"/>
      <c r="H42" s="57"/>
      <c r="I42" s="57"/>
      <c r="J42" s="64"/>
      <c r="K42" s="64"/>
    </row>
    <row r="43" spans="1:11" s="2" customFormat="1" ht="23.25" customHeight="1" x14ac:dyDescent="0.25">
      <c r="A43" s="9" t="s">
        <v>14</v>
      </c>
      <c r="B43" s="27">
        <v>564</v>
      </c>
      <c r="C43" s="27">
        <v>-81</v>
      </c>
      <c r="D43" s="27">
        <v>-47</v>
      </c>
      <c r="E43" s="27">
        <v>725</v>
      </c>
      <c r="F43" s="57"/>
      <c r="G43" s="57"/>
      <c r="H43" s="73"/>
      <c r="I43" s="73"/>
      <c r="J43" s="73"/>
      <c r="K43" s="73"/>
    </row>
    <row r="44" spans="1:11" s="2" customFormat="1" ht="23.25" customHeight="1" x14ac:dyDescent="0.25">
      <c r="A44" s="11" t="s">
        <v>5</v>
      </c>
      <c r="B44" s="28">
        <f>B41+B42+B43</f>
        <v>5989</v>
      </c>
      <c r="C44" s="28">
        <f>C41+C42+C43</f>
        <v>5064</v>
      </c>
      <c r="D44" s="28">
        <f>D41+D42+D43</f>
        <v>5138</v>
      </c>
      <c r="E44" s="28">
        <f>E41+E42+E43</f>
        <v>5855</v>
      </c>
      <c r="F44" s="57"/>
      <c r="G44" s="68"/>
      <c r="H44" s="57"/>
      <c r="I44" s="57"/>
      <c r="J44" s="43"/>
      <c r="K44" s="43"/>
    </row>
    <row r="45" spans="1:11" s="2" customFormat="1" ht="23.25" customHeight="1" x14ac:dyDescent="0.25">
      <c r="A45" s="9" t="s">
        <v>23</v>
      </c>
      <c r="B45" s="27">
        <v>-75</v>
      </c>
      <c r="C45" s="27">
        <f>C75-B75</f>
        <v>6556</v>
      </c>
      <c r="D45" s="27">
        <f t="shared" ref="D45:E45" si="17">D75-C75</f>
        <v>-1426</v>
      </c>
      <c r="E45" s="27">
        <f t="shared" si="17"/>
        <v>-4077</v>
      </c>
      <c r="F45" s="57"/>
      <c r="G45" s="68"/>
      <c r="H45" s="57"/>
      <c r="I45" s="57"/>
      <c r="J45" s="43"/>
      <c r="K45" s="43"/>
    </row>
    <row r="46" spans="1:11" s="2" customFormat="1" ht="23.25" customHeight="1" x14ac:dyDescent="0.25">
      <c r="A46" s="11" t="s">
        <v>6</v>
      </c>
      <c r="B46" s="28">
        <f>B44-B45</f>
        <v>6064</v>
      </c>
      <c r="C46" s="28">
        <f>C44-C45</f>
        <v>-1492</v>
      </c>
      <c r="D46" s="28">
        <f>D44-D45</f>
        <v>6564</v>
      </c>
      <c r="E46" s="28">
        <f>E44-E45</f>
        <v>9932</v>
      </c>
      <c r="F46" s="16"/>
      <c r="G46" s="67"/>
      <c r="H46" s="67"/>
      <c r="I46" s="67"/>
      <c r="J46" s="43"/>
      <c r="K46" s="43"/>
    </row>
    <row r="47" spans="1:11" s="2" customFormat="1" ht="23.25" customHeight="1" x14ac:dyDescent="0.25">
      <c r="A47" s="9" t="s">
        <v>44</v>
      </c>
      <c r="B47" s="27">
        <v>989</v>
      </c>
      <c r="C47" s="27">
        <v>2133</v>
      </c>
      <c r="D47" s="27">
        <v>6005</v>
      </c>
      <c r="E47" s="27">
        <f>5744+46</f>
        <v>5790</v>
      </c>
      <c r="F47" s="16"/>
      <c r="G47" s="68"/>
      <c r="H47" s="57"/>
      <c r="I47" s="57"/>
      <c r="J47" s="43"/>
      <c r="K47" s="43"/>
    </row>
    <row r="48" spans="1:11" s="2" customFormat="1" ht="23.25" customHeight="1" x14ac:dyDescent="0.25">
      <c r="A48" s="9" t="s">
        <v>73</v>
      </c>
      <c r="B48" s="27"/>
      <c r="C48" s="27"/>
      <c r="D48" s="27"/>
      <c r="E48" s="27"/>
      <c r="F48" s="16"/>
      <c r="G48" s="68"/>
      <c r="H48" s="57"/>
      <c r="I48" s="57"/>
      <c r="J48" s="43"/>
      <c r="K48" s="43"/>
    </row>
    <row r="49" spans="1:13" ht="23.25" customHeight="1" x14ac:dyDescent="0.25">
      <c r="A49" s="9" t="s">
        <v>55</v>
      </c>
      <c r="B49" s="27">
        <f>250-13</f>
        <v>237</v>
      </c>
      <c r="C49" s="27">
        <v>61</v>
      </c>
      <c r="D49" s="27">
        <f>1-60</f>
        <v>-59</v>
      </c>
      <c r="E49" s="27">
        <v>-60</v>
      </c>
      <c r="F49" s="8"/>
      <c r="G49" s="68"/>
      <c r="H49" s="57"/>
      <c r="I49" s="57"/>
      <c r="J49" s="43"/>
      <c r="K49" s="43"/>
    </row>
    <row r="50" spans="1:13" ht="23.25" customHeight="1" x14ac:dyDescent="0.25">
      <c r="A50" s="9" t="s">
        <v>40</v>
      </c>
      <c r="B50" s="27"/>
      <c r="C50" s="27"/>
      <c r="D50" s="27">
        <v>6</v>
      </c>
      <c r="E50" s="27">
        <v>1</v>
      </c>
      <c r="F50" s="8"/>
      <c r="G50" s="69"/>
      <c r="H50" s="69"/>
      <c r="I50" s="69"/>
      <c r="J50" s="56"/>
      <c r="K50" s="56"/>
    </row>
    <row r="51" spans="1:13" ht="23.25" customHeight="1" x14ac:dyDescent="0.25">
      <c r="A51" s="11" t="s">
        <v>33</v>
      </c>
      <c r="B51" s="26">
        <f>-B47+B50-B49-B48</f>
        <v>-1226</v>
      </c>
      <c r="C51" s="26">
        <f>-C47+C50-C49-C48</f>
        <v>-2194</v>
      </c>
      <c r="D51" s="26">
        <f>-D47+D50-D49-D48</f>
        <v>-5940</v>
      </c>
      <c r="E51" s="26">
        <f>-E47+E50-E49-E48</f>
        <v>-5729</v>
      </c>
      <c r="F51" s="52"/>
      <c r="G51" s="67"/>
      <c r="H51" s="67"/>
      <c r="I51" s="67"/>
      <c r="J51" s="43"/>
      <c r="K51" s="43"/>
    </row>
    <row r="52" spans="1:13" ht="23.25" customHeight="1" x14ac:dyDescent="0.25">
      <c r="A52" s="18" t="s">
        <v>7</v>
      </c>
      <c r="B52" s="28">
        <f>+B46+B51</f>
        <v>4838</v>
      </c>
      <c r="C52" s="28">
        <f>+C46+C51</f>
        <v>-3686</v>
      </c>
      <c r="D52" s="28">
        <f>+D46+D51</f>
        <v>624</v>
      </c>
      <c r="E52" s="28">
        <f>+E46+E51</f>
        <v>4203</v>
      </c>
      <c r="F52" s="54"/>
      <c r="G52" s="69"/>
      <c r="H52" s="69"/>
      <c r="I52" s="69"/>
      <c r="J52" s="69"/>
      <c r="K52" s="69"/>
    </row>
    <row r="53" spans="1:13" ht="23.25" customHeight="1" x14ac:dyDescent="0.25">
      <c r="A53" s="12" t="s">
        <v>26</v>
      </c>
      <c r="B53" s="30">
        <v>0</v>
      </c>
      <c r="C53" s="27">
        <v>10000</v>
      </c>
      <c r="D53" s="27">
        <v>0</v>
      </c>
      <c r="E53" s="27"/>
      <c r="F53" s="8"/>
      <c r="G53" s="68"/>
      <c r="H53" s="67"/>
      <c r="I53" s="67"/>
      <c r="J53" s="19"/>
      <c r="K53" s="19"/>
    </row>
    <row r="54" spans="1:13" ht="23.25" customHeight="1" x14ac:dyDescent="0.25">
      <c r="A54" s="9" t="s">
        <v>8</v>
      </c>
      <c r="B54" s="27">
        <v>2025</v>
      </c>
      <c r="C54" s="27">
        <v>2025</v>
      </c>
      <c r="D54" s="27">
        <v>4005</v>
      </c>
      <c r="E54" s="27">
        <v>4005</v>
      </c>
      <c r="F54" s="54"/>
      <c r="G54" s="67"/>
      <c r="H54" s="67"/>
      <c r="I54" s="67"/>
      <c r="J54" s="45"/>
      <c r="K54" s="45"/>
    </row>
    <row r="55" spans="1:13" ht="23.25" customHeight="1" x14ac:dyDescent="0.25">
      <c r="A55" s="11" t="s">
        <v>18</v>
      </c>
      <c r="B55" s="28">
        <f>B52+B53-B54</f>
        <v>2813</v>
      </c>
      <c r="C55" s="28">
        <f>C52+C53-C54</f>
        <v>4289</v>
      </c>
      <c r="D55" s="28">
        <f>D52+D53-D54</f>
        <v>-3381</v>
      </c>
      <c r="E55" s="28">
        <f>E52+E53-E54</f>
        <v>198</v>
      </c>
      <c r="F55" s="52"/>
      <c r="G55" s="68"/>
      <c r="H55" s="67"/>
      <c r="I55" s="67"/>
      <c r="J55" s="19"/>
      <c r="K55" s="19"/>
    </row>
    <row r="56" spans="1:13" ht="23.25" customHeight="1" x14ac:dyDescent="0.25">
      <c r="A56" s="21" t="s">
        <v>24</v>
      </c>
      <c r="B56" s="22">
        <v>-687</v>
      </c>
      <c r="C56" s="22">
        <f>C89-B89</f>
        <v>-4289</v>
      </c>
      <c r="D56" s="22">
        <f>D89-C89</f>
        <v>3381</v>
      </c>
      <c r="E56" s="22">
        <f>E89-D89</f>
        <v>-198</v>
      </c>
      <c r="F56" s="52"/>
      <c r="G56" s="67"/>
      <c r="H56" s="45"/>
      <c r="I56" s="45"/>
      <c r="J56" s="45"/>
      <c r="K56" s="45"/>
    </row>
    <row r="57" spans="1:13" ht="23.25" customHeight="1" x14ac:dyDescent="0.25">
      <c r="A57" s="84" t="s">
        <v>36</v>
      </c>
      <c r="B57" s="85">
        <f>B56+B55</f>
        <v>2126</v>
      </c>
      <c r="C57" s="85">
        <f>C56+C55</f>
        <v>0</v>
      </c>
      <c r="D57" s="85">
        <f>D56+D55</f>
        <v>0</v>
      </c>
      <c r="E57" s="85">
        <f>E56+E55</f>
        <v>0</v>
      </c>
      <c r="F57" s="52"/>
      <c r="G57" s="68"/>
      <c r="H57" s="67"/>
      <c r="I57" s="67"/>
      <c r="J57" s="19"/>
      <c r="K57" s="19"/>
    </row>
    <row r="58" spans="1:13" ht="23.25" customHeight="1" x14ac:dyDescent="0.25">
      <c r="A58" s="21" t="s">
        <v>36</v>
      </c>
      <c r="B58" s="22" t="s">
        <v>36</v>
      </c>
      <c r="C58" s="13"/>
      <c r="D58" s="13"/>
      <c r="E58" s="13"/>
      <c r="F58" s="52"/>
      <c r="G58" s="67"/>
      <c r="H58" s="72"/>
      <c r="I58" s="72"/>
      <c r="J58" s="72"/>
      <c r="K58" s="72"/>
    </row>
    <row r="59" spans="1:13" ht="23.25" customHeight="1" x14ac:dyDescent="0.25">
      <c r="A59" s="3" t="s">
        <v>9</v>
      </c>
      <c r="C59" s="3"/>
      <c r="D59" s="3"/>
      <c r="E59" s="3"/>
      <c r="F59" s="55"/>
      <c r="G59" s="67"/>
      <c r="H59" s="72"/>
      <c r="I59" s="72"/>
      <c r="J59" s="72"/>
      <c r="K59" s="72"/>
    </row>
    <row r="60" spans="1:13" ht="23.25" customHeight="1" x14ac:dyDescent="0.25">
      <c r="A60" s="5" t="str">
        <f>+A7</f>
        <v>En million de FCFA</v>
      </c>
      <c r="B60" s="24">
        <f>B7</f>
        <v>2015</v>
      </c>
      <c r="C60" s="42">
        <f>C40</f>
        <v>2016</v>
      </c>
      <c r="D60" s="42">
        <f>D40</f>
        <v>2017</v>
      </c>
      <c r="E60" s="42">
        <f>E40</f>
        <v>2018</v>
      </c>
      <c r="F60" s="54"/>
      <c r="G60" s="67"/>
      <c r="H60" s="72"/>
      <c r="I60" s="72"/>
      <c r="J60" s="72"/>
      <c r="K60" s="72"/>
      <c r="L60" s="86"/>
      <c r="M60" s="86"/>
    </row>
    <row r="61" spans="1:13" s="66" customFormat="1" ht="23.25" customHeight="1" x14ac:dyDescent="0.25">
      <c r="A61" s="77" t="s">
        <v>80</v>
      </c>
      <c r="B61" s="27">
        <v>141</v>
      </c>
      <c r="C61" s="27">
        <v>88</v>
      </c>
      <c r="D61" s="27">
        <v>34</v>
      </c>
      <c r="E61" s="27">
        <v>43</v>
      </c>
      <c r="F61" s="54"/>
      <c r="G61" s="68"/>
      <c r="H61" s="64"/>
      <c r="I61" s="64"/>
      <c r="J61" s="64"/>
      <c r="K61" s="64"/>
      <c r="L61" s="92"/>
      <c r="M61" s="92"/>
    </row>
    <row r="62" spans="1:13" ht="23.25" customHeight="1" x14ac:dyDescent="0.25">
      <c r="A62" s="77" t="s">
        <v>57</v>
      </c>
      <c r="B62" s="27">
        <v>100</v>
      </c>
      <c r="C62" s="27">
        <v>100</v>
      </c>
      <c r="D62" s="27">
        <v>100</v>
      </c>
      <c r="E62" s="27">
        <v>100</v>
      </c>
      <c r="F62" s="8"/>
      <c r="G62" s="57"/>
      <c r="H62" s="57"/>
      <c r="I62" s="57"/>
      <c r="J62" s="52"/>
      <c r="K62" s="52"/>
    </row>
    <row r="63" spans="1:13" ht="23.25" customHeight="1" x14ac:dyDescent="0.25">
      <c r="A63" s="77" t="s">
        <v>66</v>
      </c>
      <c r="B63" s="27"/>
      <c r="C63" s="27"/>
      <c r="D63" s="27"/>
      <c r="E63" s="27"/>
      <c r="F63" s="54"/>
      <c r="G63" s="57"/>
      <c r="H63" s="57"/>
      <c r="I63" s="57"/>
      <c r="J63" s="52"/>
      <c r="K63" s="52"/>
    </row>
    <row r="64" spans="1:13" ht="23.25" customHeight="1" x14ac:dyDescent="0.25">
      <c r="A64" s="9" t="s">
        <v>10</v>
      </c>
      <c r="B64" s="27">
        <f>25+1033+112+14+5273</f>
        <v>6457</v>
      </c>
      <c r="C64" s="27">
        <f>25+989+126+6290+80</f>
        <v>7510</v>
      </c>
      <c r="D64" s="27">
        <f>25+967+112+11114+182</f>
        <v>12400</v>
      </c>
      <c r="E64" s="27">
        <v>16563</v>
      </c>
      <c r="F64" s="22"/>
      <c r="G64" s="57"/>
      <c r="H64" s="57"/>
      <c r="I64" s="57"/>
      <c r="J64" s="52"/>
      <c r="K64" s="52"/>
    </row>
    <row r="65" spans="1:11" ht="23.25" customHeight="1" x14ac:dyDescent="0.25">
      <c r="A65" s="9" t="s">
        <v>11</v>
      </c>
      <c r="B65" s="27">
        <v>293</v>
      </c>
      <c r="C65" s="27">
        <v>232</v>
      </c>
      <c r="D65" s="27">
        <v>173</v>
      </c>
      <c r="E65" s="27">
        <v>113</v>
      </c>
      <c r="F65" s="17"/>
      <c r="G65" s="57"/>
      <c r="H65" s="57"/>
      <c r="I65" s="57"/>
      <c r="J65" s="52"/>
      <c r="K65" s="52"/>
    </row>
    <row r="66" spans="1:11" ht="23.25" customHeight="1" outlineLevel="1" x14ac:dyDescent="0.25">
      <c r="A66" s="12" t="s">
        <v>29</v>
      </c>
      <c r="B66" s="30">
        <f>B61+B62+B63+B64+B65</f>
        <v>6991</v>
      </c>
      <c r="C66" s="30">
        <f>C61+C62+C63+C64+C65</f>
        <v>7930</v>
      </c>
      <c r="D66" s="30">
        <f>D61+D62+D63+D64+D65</f>
        <v>12707</v>
      </c>
      <c r="E66" s="30">
        <f>E61+E62+E63+E64+E65</f>
        <v>16819</v>
      </c>
      <c r="F66" s="52"/>
      <c r="G66" s="57"/>
      <c r="H66" s="57"/>
      <c r="I66" s="57"/>
      <c r="J66" s="52"/>
      <c r="K66" s="52"/>
    </row>
    <row r="67" spans="1:11" s="2" customFormat="1" ht="23.25" customHeight="1" x14ac:dyDescent="0.25">
      <c r="A67" s="7" t="s">
        <v>28</v>
      </c>
      <c r="B67" s="27">
        <f>SUM(B68:B70)</f>
        <v>8578</v>
      </c>
      <c r="C67" s="27">
        <f t="shared" ref="C67:D67" si="18">SUM(C68:C70)</f>
        <v>9520</v>
      </c>
      <c r="D67" s="27">
        <f t="shared" si="18"/>
        <v>9485</v>
      </c>
      <c r="E67" s="27">
        <v>9938</v>
      </c>
      <c r="F67" s="61"/>
      <c r="G67" s="57"/>
      <c r="H67" s="57"/>
      <c r="I67" s="57"/>
      <c r="J67" s="52"/>
      <c r="K67" s="52"/>
    </row>
    <row r="68" spans="1:11" ht="18" customHeight="1" x14ac:dyDescent="0.25">
      <c r="A68" s="68" t="s">
        <v>50</v>
      </c>
      <c r="B68" s="49">
        <v>6053</v>
      </c>
      <c r="C68" s="49">
        <v>6387</v>
      </c>
      <c r="D68" s="74">
        <v>6730</v>
      </c>
      <c r="E68" s="74"/>
      <c r="F68" s="16"/>
      <c r="G68" s="57"/>
      <c r="H68" s="57"/>
      <c r="I68" s="57"/>
      <c r="J68" s="52"/>
      <c r="K68" s="52"/>
    </row>
    <row r="69" spans="1:11" ht="19.5" customHeight="1" x14ac:dyDescent="0.25">
      <c r="A69" s="68" t="s">
        <v>60</v>
      </c>
      <c r="B69" s="49">
        <v>1063</v>
      </c>
      <c r="C69" s="49">
        <v>913</v>
      </c>
      <c r="D69" s="49">
        <v>794</v>
      </c>
      <c r="E69" s="49"/>
      <c r="F69" s="62"/>
      <c r="G69" s="57"/>
      <c r="H69" s="57"/>
      <c r="I69" s="57"/>
      <c r="J69" s="52"/>
      <c r="K69" s="52"/>
    </row>
    <row r="70" spans="1:11" ht="23" customHeight="1" x14ac:dyDescent="0.25">
      <c r="A70" s="68" t="s">
        <v>61</v>
      </c>
      <c r="B70" s="49">
        <v>1462</v>
      </c>
      <c r="C70" s="49">
        <v>2220</v>
      </c>
      <c r="D70" s="49">
        <v>1961</v>
      </c>
      <c r="E70" s="49"/>
      <c r="F70" s="62"/>
      <c r="G70" s="57"/>
      <c r="H70" s="57"/>
      <c r="I70" s="57"/>
      <c r="J70" s="52"/>
      <c r="K70" s="52"/>
    </row>
    <row r="71" spans="1:11" ht="23.25" customHeight="1" x14ac:dyDescent="0.25">
      <c r="A71" s="9" t="s">
        <v>12</v>
      </c>
      <c r="B71" s="27">
        <f>6412-57</f>
        <v>6355</v>
      </c>
      <c r="C71" s="27">
        <f>5058-295</f>
        <v>4763</v>
      </c>
      <c r="D71" s="27">
        <f>5912-359</f>
        <v>5553</v>
      </c>
      <c r="E71" s="27">
        <f>5260-647</f>
        <v>4613</v>
      </c>
      <c r="F71" s="62"/>
      <c r="G71" s="57"/>
      <c r="H71" s="57"/>
      <c r="I71" s="57"/>
      <c r="J71" s="52"/>
      <c r="K71" s="52"/>
    </row>
    <row r="72" spans="1:11" ht="23.25" customHeight="1" x14ac:dyDescent="0.25">
      <c r="A72" s="9" t="s">
        <v>31</v>
      </c>
      <c r="B72" s="27">
        <v>1351</v>
      </c>
      <c r="C72" s="27">
        <v>1832</v>
      </c>
      <c r="D72" s="27">
        <v>1997</v>
      </c>
      <c r="E72" s="27">
        <f>1724+132</f>
        <v>1856</v>
      </c>
      <c r="F72" s="62"/>
      <c r="H72" s="4"/>
    </row>
    <row r="73" spans="1:11" ht="23.25" customHeight="1" x14ac:dyDescent="0.25">
      <c r="A73" s="9" t="s">
        <v>13</v>
      </c>
      <c r="B73" s="27">
        <f>6045-72</f>
        <v>5973</v>
      </c>
      <c r="C73" s="27">
        <f>-8+2859</f>
        <v>2851</v>
      </c>
      <c r="D73" s="27">
        <f>-30+5651</f>
        <v>5621</v>
      </c>
      <c r="E73" s="27">
        <v>9250</v>
      </c>
      <c r="F73" s="62"/>
      <c r="H73" s="4"/>
    </row>
    <row r="74" spans="1:11" ht="23.25" customHeight="1" x14ac:dyDescent="0.25">
      <c r="A74" s="9" t="s">
        <v>32</v>
      </c>
      <c r="B74" s="27">
        <f>2104+425+3586</f>
        <v>6115</v>
      </c>
      <c r="C74" s="27">
        <f>2155+341+16</f>
        <v>2512</v>
      </c>
      <c r="D74" s="27">
        <f>1728+348+12</f>
        <v>2088</v>
      </c>
      <c r="E74" s="27">
        <f>1891+17</f>
        <v>1908</v>
      </c>
      <c r="F74" s="62"/>
      <c r="H74" s="4"/>
    </row>
    <row r="75" spans="1:11" ht="23.25" customHeight="1" x14ac:dyDescent="0.25">
      <c r="A75" s="12" t="s">
        <v>25</v>
      </c>
      <c r="B75" s="30">
        <f>+B67+B71-B73+B72-B74</f>
        <v>4196</v>
      </c>
      <c r="C75" s="30">
        <f>+C67+C71-C73+C72-C74</f>
        <v>10752</v>
      </c>
      <c r="D75" s="30">
        <f>+D67+D71-D73+D72-D74</f>
        <v>9326</v>
      </c>
      <c r="E75" s="30">
        <f>+E67+E71-E73+E72-E74</f>
        <v>5249</v>
      </c>
      <c r="F75" s="62"/>
      <c r="H75" s="4"/>
    </row>
    <row r="76" spans="1:11" ht="23.25" customHeight="1" x14ac:dyDescent="0.25">
      <c r="A76" s="9" t="s">
        <v>37</v>
      </c>
      <c r="B76" s="27">
        <v>0</v>
      </c>
      <c r="C76" s="27">
        <v>0</v>
      </c>
      <c r="D76" s="27">
        <v>0</v>
      </c>
      <c r="E76" s="27"/>
      <c r="F76" s="62"/>
      <c r="H76" s="4"/>
    </row>
    <row r="77" spans="1:11" ht="23.25" customHeight="1" x14ac:dyDescent="0.25">
      <c r="A77" s="9" t="s">
        <v>69</v>
      </c>
      <c r="B77" s="27"/>
      <c r="C77" s="27"/>
      <c r="D77" s="27"/>
      <c r="E77" s="27"/>
      <c r="F77" s="62"/>
      <c r="H77" s="4"/>
    </row>
    <row r="78" spans="1:11" ht="23.25" customHeight="1" x14ac:dyDescent="0.25">
      <c r="A78" s="35" t="s">
        <v>63</v>
      </c>
      <c r="B78" s="37">
        <f>B76-B77</f>
        <v>0</v>
      </c>
      <c r="C78" s="37">
        <f>C76-C77</f>
        <v>0</v>
      </c>
      <c r="D78" s="37">
        <f>D76-D77</f>
        <v>0</v>
      </c>
      <c r="E78" s="37">
        <f>E76-E77</f>
        <v>0</v>
      </c>
      <c r="F78" s="62"/>
      <c r="H78" s="4"/>
    </row>
    <row r="79" spans="1:11" ht="23.25" customHeight="1" x14ac:dyDescent="0.25">
      <c r="A79" s="18" t="s">
        <v>56</v>
      </c>
      <c r="B79" s="28">
        <f t="shared" ref="B79:E79" si="19">B66+B75+B78</f>
        <v>11187</v>
      </c>
      <c r="C79" s="28">
        <f t="shared" si="19"/>
        <v>18682</v>
      </c>
      <c r="D79" s="28">
        <f t="shared" si="19"/>
        <v>22033</v>
      </c>
      <c r="E79" s="28">
        <f t="shared" si="19"/>
        <v>22068</v>
      </c>
      <c r="F79" s="62"/>
      <c r="H79" s="4"/>
    </row>
    <row r="80" spans="1:11" ht="23.25" customHeight="1" x14ac:dyDescent="0.25">
      <c r="A80" s="7" t="s">
        <v>30</v>
      </c>
      <c r="B80" s="27">
        <v>10416</v>
      </c>
      <c r="C80" s="27">
        <v>22200</v>
      </c>
      <c r="D80" s="27">
        <v>22170</v>
      </c>
      <c r="E80" s="27">
        <v>22403</v>
      </c>
      <c r="F80" s="62"/>
      <c r="H80" s="4"/>
    </row>
    <row r="81" spans="1:11" ht="26" customHeight="1" x14ac:dyDescent="0.25">
      <c r="A81" s="9" t="s">
        <v>21</v>
      </c>
      <c r="B81" s="27"/>
      <c r="C81" s="27"/>
      <c r="D81" s="27"/>
      <c r="E81" s="27"/>
      <c r="F81" s="52"/>
      <c r="H81" s="4"/>
    </row>
    <row r="82" spans="1:11" s="46" customFormat="1" ht="23.25" customHeight="1" x14ac:dyDescent="0.25">
      <c r="A82" s="9" t="s">
        <v>39</v>
      </c>
      <c r="B82" s="27"/>
      <c r="C82" s="27"/>
      <c r="D82" s="27"/>
      <c r="E82" s="27"/>
      <c r="F82" s="52"/>
      <c r="G82" s="4"/>
      <c r="H82" s="4"/>
      <c r="I82" s="4"/>
      <c r="J82" s="4"/>
      <c r="K82" s="4"/>
    </row>
    <row r="83" spans="1:11" s="46" customFormat="1" ht="23.25" customHeight="1" x14ac:dyDescent="0.25">
      <c r="A83" s="9" t="s">
        <v>38</v>
      </c>
      <c r="B83" s="27"/>
      <c r="C83" s="27"/>
      <c r="D83" s="27"/>
      <c r="E83" s="27"/>
      <c r="F83" s="52"/>
      <c r="G83" s="4"/>
      <c r="H83" s="4"/>
      <c r="I83" s="4"/>
      <c r="J83" s="4"/>
      <c r="K83" s="4"/>
    </row>
    <row r="84" spans="1:11" ht="23.25" customHeight="1" x14ac:dyDescent="0.25">
      <c r="A84" s="9" t="s">
        <v>70</v>
      </c>
      <c r="B84" s="65"/>
      <c r="C84" s="65"/>
      <c r="D84" s="65"/>
      <c r="E84" s="65"/>
      <c r="F84" s="52"/>
      <c r="H84" s="4"/>
    </row>
    <row r="85" spans="1:11" ht="23.25" customHeight="1" x14ac:dyDescent="0.25">
      <c r="A85" s="12" t="s">
        <v>71</v>
      </c>
      <c r="B85" s="30">
        <f>+B80+B81-B82+B83+B84</f>
        <v>10416</v>
      </c>
      <c r="C85" s="30">
        <f t="shared" ref="C85:E85" si="20">+C80+C81-C82+C83+C84</f>
        <v>22200</v>
      </c>
      <c r="D85" s="30">
        <f t="shared" si="20"/>
        <v>22170</v>
      </c>
      <c r="E85" s="30">
        <f t="shared" si="20"/>
        <v>22403</v>
      </c>
      <c r="F85" s="52"/>
      <c r="H85" s="4"/>
    </row>
    <row r="86" spans="1:11" ht="23.25" customHeight="1" x14ac:dyDescent="0.25">
      <c r="A86" s="7" t="s">
        <v>27</v>
      </c>
      <c r="B86" s="65">
        <f>29+575+1086</f>
        <v>1690</v>
      </c>
      <c r="C86" s="65">
        <f>2+575+1297</f>
        <v>1874</v>
      </c>
      <c r="D86" s="65">
        <f>575+1342</f>
        <v>1917</v>
      </c>
      <c r="E86" s="65">
        <f>575+653</f>
        <v>1228</v>
      </c>
      <c r="F86" s="59"/>
      <c r="H86" s="4"/>
    </row>
    <row r="87" spans="1:11" ht="23.25" customHeight="1" x14ac:dyDescent="0.25">
      <c r="A87" s="9" t="s">
        <v>52</v>
      </c>
      <c r="B87" s="65">
        <v>0</v>
      </c>
      <c r="C87" s="65">
        <v>178</v>
      </c>
      <c r="D87" s="65">
        <v>68</v>
      </c>
      <c r="E87" s="65"/>
      <c r="F87" s="52"/>
      <c r="H87" s="4"/>
    </row>
    <row r="88" spans="1:11" ht="23.25" customHeight="1" x14ac:dyDescent="0.25">
      <c r="A88" s="9" t="s">
        <v>20</v>
      </c>
      <c r="B88" s="71">
        <f>356+563</f>
        <v>919</v>
      </c>
      <c r="C88" s="71">
        <f>5070+238+262</f>
        <v>5570</v>
      </c>
      <c r="D88" s="71">
        <f>1064+472+586</f>
        <v>2122</v>
      </c>
      <c r="E88" s="71">
        <f>90+583+890</f>
        <v>1563</v>
      </c>
      <c r="F88" s="52"/>
      <c r="H88" s="4"/>
    </row>
    <row r="89" spans="1:11" s="36" customFormat="1" ht="23.25" customHeight="1" x14ac:dyDescent="0.25">
      <c r="A89" s="12" t="s">
        <v>45</v>
      </c>
      <c r="B89" s="30">
        <f>+B86+B87-B88</f>
        <v>771</v>
      </c>
      <c r="C89" s="30">
        <f t="shared" ref="C89:E89" si="21">+C86+C87-C88</f>
        <v>-3518</v>
      </c>
      <c r="D89" s="30">
        <f t="shared" si="21"/>
        <v>-137</v>
      </c>
      <c r="E89" s="30">
        <f t="shared" si="21"/>
        <v>-335</v>
      </c>
      <c r="F89" s="52"/>
      <c r="G89" s="4"/>
      <c r="H89" s="4"/>
      <c r="I89" s="4"/>
      <c r="J89" s="4"/>
      <c r="K89" s="4"/>
    </row>
    <row r="90" spans="1:11" ht="23.25" customHeight="1" x14ac:dyDescent="0.25">
      <c r="A90" s="18" t="s">
        <v>72</v>
      </c>
      <c r="B90" s="28">
        <f>B85+B89</f>
        <v>11187</v>
      </c>
      <c r="C90" s="28">
        <f>C85+C89</f>
        <v>18682</v>
      </c>
      <c r="D90" s="28">
        <f>D85+D89</f>
        <v>22033</v>
      </c>
      <c r="E90" s="28">
        <f>E85+E89</f>
        <v>22068</v>
      </c>
      <c r="F90" s="54"/>
      <c r="H90" s="4"/>
    </row>
    <row r="91" spans="1:11" ht="23.25" customHeight="1" x14ac:dyDescent="0.25">
      <c r="A91" s="21" t="s">
        <v>22</v>
      </c>
      <c r="B91" s="22">
        <f>+B79-B90</f>
        <v>0</v>
      </c>
      <c r="C91" s="22">
        <f>+C79-C90</f>
        <v>0</v>
      </c>
      <c r="D91" s="22">
        <f>+D79-D90</f>
        <v>0</v>
      </c>
      <c r="E91" s="22">
        <f>+E79-E90</f>
        <v>0</v>
      </c>
      <c r="F91" s="52"/>
      <c r="H91" s="4"/>
    </row>
    <row r="92" spans="1:11" ht="23.25" customHeight="1" x14ac:dyDescent="0.25">
      <c r="A92" s="21" t="s">
        <v>24</v>
      </c>
      <c r="B92" s="22" t="str">
        <f>IF((ABS(B79-B90)&lt;0.1),"ok")</f>
        <v>ok</v>
      </c>
      <c r="C92" s="22" t="str">
        <f>IF((ABS(C79-C90)&lt;0.1),"ok")</f>
        <v>ok</v>
      </c>
      <c r="D92" s="22" t="str">
        <f>IF((ABS(D79-D90)&lt;0.1),"ok")</f>
        <v>ok</v>
      </c>
      <c r="E92" s="22" t="str">
        <f>IF((ABS(E79-E90)&lt;0.1),"ok")</f>
        <v>ok</v>
      </c>
      <c r="F92" s="52"/>
      <c r="H92" s="4"/>
    </row>
    <row r="93" spans="1:11" ht="23.25" customHeight="1" x14ac:dyDescent="0.25">
      <c r="A93" s="76" t="s">
        <v>36</v>
      </c>
      <c r="B93" s="22">
        <f>B90-B79</f>
        <v>0</v>
      </c>
      <c r="C93" s="22">
        <f>C90-C79</f>
        <v>0</v>
      </c>
      <c r="D93" s="22">
        <f>D90-D79</f>
        <v>0</v>
      </c>
      <c r="E93" s="22"/>
      <c r="F93" s="63"/>
      <c r="H93" s="4"/>
    </row>
    <row r="94" spans="1:11" ht="23.25" customHeight="1" x14ac:dyDescent="0.25">
      <c r="B94" s="20"/>
      <c r="C94" s="20"/>
      <c r="D94" s="20"/>
      <c r="E94" s="20"/>
      <c r="F94" s="20"/>
      <c r="G94" s="20"/>
    </row>
    <row r="95" spans="1:11" ht="23.25" customHeight="1" x14ac:dyDescent="0.25">
      <c r="B95" s="20"/>
      <c r="C95" s="20"/>
      <c r="D95" s="20"/>
      <c r="E95" s="20"/>
      <c r="F95" s="20"/>
      <c r="G95" s="20"/>
    </row>
    <row r="96" spans="1:11" ht="23.25" customHeight="1" x14ac:dyDescent="0.25">
      <c r="B96" s="20"/>
      <c r="C96" s="20"/>
      <c r="D96" s="20"/>
      <c r="E96" s="20"/>
      <c r="F96" s="20"/>
      <c r="G96" s="20"/>
    </row>
    <row r="97" spans="2:7" ht="23.25" customHeight="1" x14ac:dyDescent="0.25">
      <c r="B97" s="20"/>
      <c r="C97" s="20"/>
      <c r="D97" s="20"/>
      <c r="E97" s="20"/>
      <c r="F97" s="20"/>
      <c r="G97" s="20"/>
    </row>
    <row r="98" spans="2:7" ht="23.25" customHeight="1" x14ac:dyDescent="0.25">
      <c r="B98" s="20"/>
      <c r="C98" s="20"/>
      <c r="D98" s="20"/>
      <c r="E98" s="20"/>
      <c r="F98" s="20"/>
      <c r="G98" s="20"/>
    </row>
    <row r="99" spans="2:7" ht="23.25" customHeight="1" x14ac:dyDescent="0.25">
      <c r="B99" s="20"/>
      <c r="C99" s="20"/>
      <c r="D99" s="20"/>
      <c r="E99" s="20"/>
      <c r="F99" s="20"/>
      <c r="G99" s="20"/>
    </row>
    <row r="100" spans="2:7" ht="23.25" customHeight="1" x14ac:dyDescent="0.25">
      <c r="B100" s="20"/>
      <c r="C100" s="20"/>
      <c r="D100" s="20"/>
      <c r="E100" s="20"/>
      <c r="F100" s="20"/>
      <c r="G100" s="20"/>
    </row>
    <row r="101" spans="2:7" ht="23.25" customHeight="1" x14ac:dyDescent="0.25">
      <c r="B101" s="20"/>
      <c r="C101" s="20"/>
      <c r="D101" s="20"/>
      <c r="E101" s="20"/>
      <c r="F101" s="20"/>
      <c r="G101" s="20"/>
    </row>
    <row r="102" spans="2:7" ht="23.25" customHeight="1" x14ac:dyDescent="0.25">
      <c r="B102" s="20"/>
      <c r="C102" s="20"/>
      <c r="D102" s="20"/>
      <c r="E102" s="20"/>
      <c r="F102" s="20"/>
      <c r="G102" s="20"/>
    </row>
    <row r="103" spans="2:7" ht="23.25" customHeight="1" x14ac:dyDescent="0.25">
      <c r="B103" s="20"/>
      <c r="C103" s="20"/>
      <c r="D103" s="20"/>
      <c r="E103" s="20"/>
      <c r="F103" s="20"/>
      <c r="G103" s="20"/>
    </row>
    <row r="104" spans="2:7" ht="23.25" customHeight="1" x14ac:dyDescent="0.25">
      <c r="B104" s="20"/>
      <c r="C104" s="20"/>
      <c r="D104" s="20"/>
      <c r="E104" s="20"/>
      <c r="F104" s="20"/>
      <c r="G104" s="20"/>
    </row>
    <row r="105" spans="2:7" ht="23.25" customHeight="1" x14ac:dyDescent="0.25">
      <c r="B105" s="20"/>
      <c r="C105" s="20"/>
      <c r="D105" s="20"/>
      <c r="E105" s="20"/>
      <c r="F105" s="20"/>
      <c r="G105" s="20"/>
    </row>
    <row r="106" spans="2:7" ht="23.25" customHeight="1" x14ac:dyDescent="0.25">
      <c r="B106" s="20"/>
      <c r="C106" s="20"/>
      <c r="D106" s="20"/>
      <c r="E106" s="20"/>
      <c r="F106" s="20"/>
      <c r="G106" s="20"/>
    </row>
    <row r="107" spans="2:7" ht="23.25" customHeight="1" x14ac:dyDescent="0.25">
      <c r="B107" s="20"/>
      <c r="C107" s="20"/>
      <c r="D107" s="20"/>
      <c r="E107" s="20"/>
      <c r="F107" s="20"/>
      <c r="G107" s="20"/>
    </row>
    <row r="108" spans="2:7" ht="23.25" customHeight="1" x14ac:dyDescent="0.25">
      <c r="B108" s="20"/>
      <c r="C108" s="20"/>
      <c r="D108" s="20"/>
      <c r="E108" s="20"/>
      <c r="F108" s="20"/>
      <c r="G108" s="20"/>
    </row>
    <row r="109" spans="2:7" ht="23.25" customHeight="1" x14ac:dyDescent="0.25">
      <c r="B109" s="20"/>
      <c r="C109" s="20"/>
      <c r="D109" s="20"/>
      <c r="E109" s="20"/>
      <c r="F109" s="20"/>
      <c r="G109" s="20"/>
    </row>
    <row r="110" spans="2:7" ht="23.25" customHeight="1" x14ac:dyDescent="0.25">
      <c r="B110" s="20"/>
      <c r="C110" s="20"/>
      <c r="D110" s="20"/>
      <c r="E110" s="20"/>
      <c r="F110" s="20"/>
      <c r="G110" s="20"/>
    </row>
    <row r="111" spans="2:7" ht="23.25" customHeight="1" x14ac:dyDescent="0.25">
      <c r="B111" s="20"/>
      <c r="C111" s="20"/>
      <c r="D111" s="20"/>
      <c r="E111" s="20"/>
      <c r="F111" s="20"/>
      <c r="G111" s="20"/>
    </row>
    <row r="112" spans="2:7" ht="23.25" customHeight="1" x14ac:dyDescent="0.25">
      <c r="B112" s="20"/>
      <c r="C112" s="20"/>
      <c r="D112" s="20"/>
      <c r="E112" s="20"/>
      <c r="F112" s="20"/>
      <c r="G112" s="20"/>
    </row>
    <row r="113" spans="2:7" ht="23.25" customHeight="1" x14ac:dyDescent="0.25">
      <c r="B113" s="20"/>
      <c r="C113" s="20"/>
      <c r="D113" s="20"/>
      <c r="E113" s="20"/>
      <c r="F113" s="20"/>
      <c r="G113" s="20"/>
    </row>
    <row r="114" spans="2:7" ht="23.25" customHeight="1" x14ac:dyDescent="0.25">
      <c r="B114" s="20"/>
      <c r="C114" s="20"/>
      <c r="D114" s="20"/>
      <c r="E114" s="20"/>
      <c r="F114" s="20"/>
      <c r="G114" s="20"/>
    </row>
    <row r="115" spans="2:7" ht="23.25" customHeight="1" x14ac:dyDescent="0.25">
      <c r="B115" s="20"/>
      <c r="C115" s="20"/>
      <c r="D115" s="20"/>
      <c r="E115" s="20"/>
      <c r="F115" s="20"/>
      <c r="G115" s="20"/>
    </row>
    <row r="116" spans="2:7" ht="23.25" customHeight="1" x14ac:dyDescent="0.25">
      <c r="B116" s="20"/>
      <c r="C116" s="20"/>
      <c r="D116" s="20"/>
      <c r="E116" s="20"/>
      <c r="F116" s="20"/>
      <c r="G116" s="20"/>
    </row>
    <row r="117" spans="2:7" ht="23.25" customHeight="1" x14ac:dyDescent="0.25">
      <c r="B117" s="20"/>
      <c r="C117" s="20"/>
      <c r="D117" s="20"/>
      <c r="E117" s="20"/>
      <c r="F117" s="20"/>
      <c r="G117" s="20"/>
    </row>
    <row r="118" spans="2:7" ht="23.25" customHeight="1" x14ac:dyDescent="0.25">
      <c r="B118" s="20"/>
      <c r="C118" s="20"/>
      <c r="D118" s="20"/>
      <c r="E118" s="20"/>
      <c r="F118" s="20"/>
      <c r="G118" s="20"/>
    </row>
    <row r="119" spans="2:7" ht="23.25" customHeight="1" x14ac:dyDescent="0.25">
      <c r="B119" s="20"/>
      <c r="C119" s="20"/>
      <c r="D119" s="20"/>
      <c r="E119" s="20"/>
      <c r="F119" s="20"/>
      <c r="G119" s="20"/>
    </row>
    <row r="120" spans="2:7" ht="23.25" customHeight="1" x14ac:dyDescent="0.25">
      <c r="B120" s="20"/>
      <c r="C120" s="20"/>
      <c r="D120" s="20"/>
      <c r="E120" s="20"/>
      <c r="F120" s="20"/>
      <c r="G120" s="20"/>
    </row>
    <row r="121" spans="2:7" ht="23.25" customHeight="1" x14ac:dyDescent="0.25">
      <c r="B121" s="20"/>
      <c r="C121" s="20"/>
      <c r="D121" s="20"/>
      <c r="E121" s="20"/>
      <c r="F121" s="20"/>
      <c r="G121" s="20"/>
    </row>
    <row r="122" spans="2:7" ht="23.25" customHeight="1" x14ac:dyDescent="0.25">
      <c r="B122" s="20"/>
      <c r="C122" s="20"/>
      <c r="D122" s="20"/>
      <c r="E122" s="20"/>
      <c r="F122" s="20"/>
      <c r="G122" s="20"/>
    </row>
    <row r="123" spans="2:7" ht="23.25" customHeight="1" x14ac:dyDescent="0.25">
      <c r="B123" s="20"/>
      <c r="C123" s="20"/>
      <c r="D123" s="20"/>
      <c r="E123" s="20"/>
      <c r="F123" s="20"/>
      <c r="G123" s="20"/>
    </row>
    <row r="124" spans="2:7" ht="23.25" customHeight="1" x14ac:dyDescent="0.25">
      <c r="B124" s="20"/>
      <c r="C124" s="20"/>
      <c r="D124" s="20"/>
      <c r="E124" s="20"/>
      <c r="F124" s="20"/>
      <c r="G124" s="20"/>
    </row>
    <row r="125" spans="2:7" ht="23.25" customHeight="1" x14ac:dyDescent="0.25">
      <c r="B125" s="20"/>
      <c r="C125" s="20"/>
      <c r="D125" s="20"/>
      <c r="E125" s="20"/>
      <c r="F125" s="20"/>
      <c r="G125" s="20"/>
    </row>
    <row r="126" spans="2:7" ht="23.25" customHeight="1" x14ac:dyDescent="0.25">
      <c r="B126" s="20"/>
      <c r="C126" s="20"/>
      <c r="D126" s="20"/>
      <c r="E126" s="20"/>
      <c r="F126" s="20"/>
      <c r="G126" s="20"/>
    </row>
    <row r="127" spans="2:7" ht="23.25" customHeight="1" x14ac:dyDescent="0.25">
      <c r="B127" s="20"/>
      <c r="C127" s="20"/>
      <c r="D127" s="20"/>
      <c r="E127" s="20"/>
      <c r="F127" s="20"/>
      <c r="G127" s="20"/>
    </row>
    <row r="128" spans="2:7" ht="23.25" customHeight="1" x14ac:dyDescent="0.25">
      <c r="B128" s="20"/>
      <c r="C128" s="20"/>
      <c r="D128" s="20"/>
      <c r="E128" s="20"/>
      <c r="F128" s="20"/>
      <c r="G128" s="20"/>
    </row>
    <row r="129" spans="2:7" ht="23.25" customHeight="1" x14ac:dyDescent="0.25">
      <c r="B129" s="20"/>
      <c r="C129" s="20"/>
      <c r="D129" s="20"/>
      <c r="E129" s="20"/>
      <c r="F129" s="20"/>
      <c r="G129" s="20"/>
    </row>
    <row r="130" spans="2:7" ht="23.25" customHeight="1" x14ac:dyDescent="0.25">
      <c r="B130" s="20"/>
      <c r="C130" s="20"/>
      <c r="D130" s="20"/>
      <c r="E130" s="20"/>
      <c r="F130" s="20"/>
      <c r="G130" s="20"/>
    </row>
    <row r="131" spans="2:7" ht="23.25" customHeight="1" x14ac:dyDescent="0.25">
      <c r="B131" s="20"/>
      <c r="C131" s="20"/>
      <c r="D131" s="20"/>
      <c r="E131" s="20"/>
      <c r="F131" s="20"/>
      <c r="G131" s="20"/>
    </row>
    <row r="132" spans="2:7" ht="23.25" customHeight="1" x14ac:dyDescent="0.25">
      <c r="B132" s="20"/>
      <c r="C132" s="20"/>
      <c r="D132" s="20"/>
      <c r="E132" s="20"/>
      <c r="F132" s="20"/>
      <c r="G132" s="20"/>
    </row>
    <row r="133" spans="2:7" ht="23.25" customHeight="1" x14ac:dyDescent="0.25">
      <c r="B133" s="20"/>
      <c r="C133" s="20"/>
      <c r="D133" s="20"/>
      <c r="E133" s="20"/>
      <c r="F133" s="20"/>
      <c r="G133" s="20"/>
    </row>
    <row r="134" spans="2:7" ht="23.25" customHeight="1" x14ac:dyDescent="0.25">
      <c r="B134" s="20"/>
      <c r="C134" s="20"/>
      <c r="D134" s="20"/>
      <c r="E134" s="20"/>
      <c r="F134" s="20"/>
      <c r="G134" s="20"/>
    </row>
    <row r="135" spans="2:7" ht="23.25" customHeight="1" x14ac:dyDescent="0.25">
      <c r="B135" s="20"/>
      <c r="C135" s="20"/>
      <c r="D135" s="20"/>
      <c r="E135" s="20"/>
      <c r="F135" s="20"/>
      <c r="G135" s="20"/>
    </row>
    <row r="136" spans="2:7" ht="23.25" customHeight="1" x14ac:dyDescent="0.25">
      <c r="B136" s="20"/>
      <c r="C136" s="20"/>
      <c r="D136" s="20"/>
      <c r="E136" s="20"/>
      <c r="F136" s="20"/>
      <c r="G136" s="20"/>
    </row>
    <row r="137" spans="2:7" ht="23.25" customHeight="1" x14ac:dyDescent="0.25">
      <c r="B137" s="20"/>
      <c r="C137" s="20"/>
      <c r="D137" s="20"/>
      <c r="E137" s="20"/>
      <c r="F137" s="20"/>
      <c r="G137" s="20"/>
    </row>
    <row r="138" spans="2:7" ht="23.25" customHeight="1" x14ac:dyDescent="0.25">
      <c r="B138" s="20"/>
      <c r="C138" s="20"/>
      <c r="D138" s="20"/>
      <c r="E138" s="20"/>
      <c r="F138" s="20"/>
      <c r="G138" s="20"/>
    </row>
    <row r="139" spans="2:7" ht="23.25" customHeight="1" x14ac:dyDescent="0.25">
      <c r="B139" s="20"/>
      <c r="C139" s="20"/>
      <c r="D139" s="20"/>
      <c r="E139" s="20"/>
      <c r="F139" s="20"/>
      <c r="G139" s="20"/>
    </row>
    <row r="140" spans="2:7" ht="23.25" customHeight="1" x14ac:dyDescent="0.25">
      <c r="B140" s="20"/>
      <c r="C140" s="20"/>
      <c r="D140" s="20"/>
      <c r="E140" s="20"/>
      <c r="F140" s="20"/>
      <c r="G140" s="20"/>
    </row>
    <row r="141" spans="2:7" ht="23.25" customHeight="1" x14ac:dyDescent="0.25">
      <c r="B141" s="20"/>
      <c r="C141" s="20"/>
      <c r="D141" s="20"/>
      <c r="E141" s="20"/>
      <c r="F141" s="20"/>
      <c r="G141" s="20"/>
    </row>
    <row r="142" spans="2:7" ht="23.25" customHeight="1" x14ac:dyDescent="0.25">
      <c r="B142" s="20"/>
      <c r="C142" s="20"/>
      <c r="D142" s="20"/>
      <c r="E142" s="20"/>
      <c r="F142" s="20"/>
      <c r="G142" s="20"/>
    </row>
    <row r="143" spans="2:7" ht="23.25" customHeight="1" x14ac:dyDescent="0.25">
      <c r="B143" s="20"/>
      <c r="C143" s="20"/>
      <c r="D143" s="20"/>
      <c r="E143" s="20"/>
      <c r="F143" s="20"/>
      <c r="G143" s="20"/>
    </row>
    <row r="144" spans="2:7" ht="23.25" customHeight="1" x14ac:dyDescent="0.25">
      <c r="B144" s="20"/>
      <c r="C144" s="20"/>
      <c r="D144" s="20"/>
      <c r="E144" s="20"/>
      <c r="F144" s="20"/>
      <c r="G144" s="20"/>
    </row>
    <row r="145" spans="2:7" ht="23.25" customHeight="1" x14ac:dyDescent="0.25">
      <c r="B145" s="20"/>
      <c r="C145" s="20"/>
      <c r="D145" s="20"/>
      <c r="E145" s="20"/>
      <c r="F145" s="20"/>
      <c r="G145" s="20"/>
    </row>
    <row r="146" spans="2:7" ht="23.25" customHeight="1" x14ac:dyDescent="0.25">
      <c r="B146" s="20"/>
      <c r="C146" s="20"/>
      <c r="D146" s="20"/>
      <c r="E146" s="20"/>
      <c r="F146" s="20"/>
      <c r="G146" s="20"/>
    </row>
    <row r="147" spans="2:7" ht="23.25" customHeight="1" x14ac:dyDescent="0.25">
      <c r="B147" s="20"/>
      <c r="C147" s="20"/>
      <c r="D147" s="20"/>
      <c r="E147" s="20"/>
      <c r="F147" s="20"/>
      <c r="G147" s="20"/>
    </row>
    <row r="148" spans="2:7" ht="23.25" customHeight="1" x14ac:dyDescent="0.25">
      <c r="B148" s="20"/>
      <c r="C148" s="20"/>
      <c r="D148" s="20"/>
      <c r="E148" s="20"/>
      <c r="F148" s="20"/>
      <c r="G148" s="20"/>
    </row>
    <row r="149" spans="2:7" ht="23.25" customHeight="1" x14ac:dyDescent="0.25">
      <c r="B149" s="20"/>
      <c r="C149" s="20"/>
      <c r="D149" s="20"/>
      <c r="E149" s="20"/>
      <c r="F149" s="20"/>
      <c r="G149" s="20"/>
    </row>
    <row r="150" spans="2:7" ht="23.25" customHeight="1" x14ac:dyDescent="0.25">
      <c r="B150" s="20"/>
      <c r="C150" s="20"/>
      <c r="D150" s="20"/>
      <c r="E150" s="20"/>
      <c r="F150" s="20"/>
      <c r="G150" s="20"/>
    </row>
    <row r="151" spans="2:7" ht="23.25" customHeight="1" x14ac:dyDescent="0.25">
      <c r="B151" s="20"/>
      <c r="C151" s="20"/>
      <c r="D151" s="20"/>
      <c r="E151" s="20"/>
      <c r="F151" s="20"/>
      <c r="G151" s="20"/>
    </row>
    <row r="152" spans="2:7" ht="23.25" customHeight="1" x14ac:dyDescent="0.25">
      <c r="B152" s="20"/>
      <c r="C152" s="20"/>
      <c r="D152" s="20"/>
      <c r="E152" s="20"/>
      <c r="F152" s="20"/>
      <c r="G152" s="20"/>
    </row>
    <row r="153" spans="2:7" ht="23.25" customHeight="1" x14ac:dyDescent="0.25">
      <c r="B153" s="20"/>
      <c r="C153" s="20"/>
      <c r="D153" s="20"/>
      <c r="E153" s="20"/>
      <c r="F153" s="20"/>
      <c r="G153" s="20"/>
    </row>
    <row r="154" spans="2:7" ht="23.25" customHeight="1" x14ac:dyDescent="0.25">
      <c r="B154" s="20"/>
      <c r="C154" s="20"/>
      <c r="D154" s="20"/>
      <c r="E154" s="20"/>
      <c r="F154" s="20"/>
      <c r="G154" s="20"/>
    </row>
    <row r="155" spans="2:7" ht="23.25" customHeight="1" x14ac:dyDescent="0.25">
      <c r="B155" s="20"/>
      <c r="C155" s="20"/>
      <c r="D155" s="20"/>
      <c r="E155" s="20"/>
      <c r="F155" s="20"/>
      <c r="G155" s="20"/>
    </row>
    <row r="156" spans="2:7" ht="23.25" customHeight="1" x14ac:dyDescent="0.25">
      <c r="B156" s="20"/>
      <c r="C156" s="20"/>
      <c r="D156" s="20"/>
      <c r="E156" s="20"/>
      <c r="F156" s="20"/>
      <c r="G156" s="20"/>
    </row>
    <row r="157" spans="2:7" ht="23.25" customHeight="1" x14ac:dyDescent="0.25">
      <c r="B157" s="20"/>
      <c r="C157" s="20"/>
      <c r="D157" s="20"/>
      <c r="E157" s="20"/>
      <c r="F157" s="20"/>
      <c r="G157" s="20"/>
    </row>
    <row r="158" spans="2:7" ht="23.25" customHeight="1" x14ac:dyDescent="0.25">
      <c r="B158" s="20"/>
      <c r="C158" s="20"/>
      <c r="D158" s="20"/>
      <c r="E158" s="20"/>
      <c r="F158" s="20"/>
      <c r="G158" s="20"/>
    </row>
    <row r="159" spans="2:7" ht="23.25" customHeight="1" x14ac:dyDescent="0.25">
      <c r="B159" s="20"/>
      <c r="C159" s="20"/>
      <c r="D159" s="20"/>
      <c r="E159" s="20"/>
      <c r="F159" s="20"/>
      <c r="G159" s="20"/>
    </row>
    <row r="160" spans="2:7" ht="23.25" customHeight="1" x14ac:dyDescent="0.25">
      <c r="B160" s="20"/>
      <c r="C160" s="20"/>
      <c r="D160" s="20"/>
      <c r="E160" s="20"/>
      <c r="F160" s="20"/>
      <c r="G160" s="20"/>
    </row>
    <row r="161" spans="2:7" ht="23.25" customHeight="1" x14ac:dyDescent="0.25">
      <c r="B161" s="20"/>
      <c r="C161" s="20"/>
      <c r="D161" s="20"/>
      <c r="E161" s="20"/>
      <c r="F161" s="20"/>
      <c r="G161" s="20"/>
    </row>
    <row r="162" spans="2:7" ht="23.25" customHeight="1" x14ac:dyDescent="0.25">
      <c r="B162" s="20"/>
      <c r="C162" s="20"/>
      <c r="D162" s="20"/>
      <c r="E162" s="20"/>
      <c r="F162" s="20"/>
    </row>
    <row r="163" spans="2:7" ht="23.25" customHeight="1" x14ac:dyDescent="0.25">
      <c r="B163" s="20"/>
      <c r="C163" s="20"/>
      <c r="D163" s="20"/>
      <c r="E163" s="20"/>
      <c r="F163" s="20"/>
    </row>
    <row r="164" spans="2:7" ht="23.25" customHeight="1" x14ac:dyDescent="0.25">
      <c r="B164" s="20"/>
      <c r="C164" s="20"/>
      <c r="D164" s="20"/>
      <c r="E164" s="20"/>
      <c r="F164" s="20"/>
    </row>
    <row r="165" spans="2:7" ht="23.25" customHeight="1" x14ac:dyDescent="0.25">
      <c r="B165" s="20"/>
      <c r="C165" s="20"/>
      <c r="D165" s="20"/>
      <c r="E165" s="20"/>
      <c r="F165" s="20"/>
    </row>
    <row r="166" spans="2:7" ht="23.25" customHeight="1" x14ac:dyDescent="0.25">
      <c r="B166" s="20"/>
      <c r="C166" s="20"/>
      <c r="D166" s="20"/>
      <c r="E166" s="20"/>
      <c r="F166" s="20"/>
    </row>
    <row r="167" spans="2:7" ht="23.25" customHeight="1" x14ac:dyDescent="0.25">
      <c r="B167" s="20"/>
      <c r="C167" s="20"/>
      <c r="D167" s="20"/>
      <c r="E167" s="20"/>
      <c r="F167" s="20"/>
    </row>
    <row r="168" spans="2:7" ht="23.25" customHeight="1" x14ac:dyDescent="0.25">
      <c r="B168" s="20"/>
      <c r="C168" s="20"/>
      <c r="D168" s="20"/>
      <c r="E168" s="20"/>
      <c r="F168" s="20"/>
    </row>
    <row r="169" spans="2:7" ht="23.25" customHeight="1" x14ac:dyDescent="0.25">
      <c r="B169" s="20"/>
      <c r="C169" s="20"/>
      <c r="D169" s="20"/>
      <c r="E169" s="20"/>
      <c r="F169" s="20"/>
    </row>
    <row r="170" spans="2:7" ht="23.25" customHeight="1" x14ac:dyDescent="0.25">
      <c r="B170" s="20"/>
      <c r="C170" s="20"/>
      <c r="D170" s="20"/>
      <c r="E170" s="20"/>
      <c r="F170" s="20"/>
    </row>
    <row r="171" spans="2:7" ht="23.25" customHeight="1" x14ac:dyDescent="0.25">
      <c r="B171" s="20"/>
      <c r="C171" s="20"/>
      <c r="D171" s="20"/>
      <c r="E171" s="20"/>
      <c r="F171" s="20"/>
    </row>
    <row r="172" spans="2:7" ht="23.25" customHeight="1" x14ac:dyDescent="0.25">
      <c r="B172" s="20"/>
      <c r="C172" s="20"/>
      <c r="D172" s="20"/>
      <c r="E172" s="20"/>
      <c r="F172" s="20"/>
    </row>
    <row r="173" spans="2:7" ht="23.25" customHeight="1" x14ac:dyDescent="0.25">
      <c r="B173" s="20"/>
      <c r="C173" s="20"/>
      <c r="D173" s="20"/>
      <c r="E173" s="20"/>
      <c r="F173" s="20"/>
    </row>
    <row r="174" spans="2:7" ht="23.25" customHeight="1" x14ac:dyDescent="0.25">
      <c r="B174" s="20"/>
      <c r="C174" s="20"/>
      <c r="D174" s="20"/>
      <c r="E174" s="20"/>
      <c r="F174" s="20"/>
    </row>
    <row r="175" spans="2:7" ht="23.25" customHeight="1" x14ac:dyDescent="0.25">
      <c r="B175" s="20"/>
      <c r="C175" s="20"/>
      <c r="D175" s="20"/>
      <c r="E175" s="20"/>
      <c r="F175" s="20"/>
    </row>
    <row r="176" spans="2:7" ht="23.25" customHeight="1" x14ac:dyDescent="0.25">
      <c r="B176" s="20"/>
      <c r="C176" s="20"/>
      <c r="D176" s="20"/>
      <c r="E176" s="20"/>
      <c r="F176" s="20"/>
    </row>
    <row r="177" spans="2:6" ht="23.25" customHeight="1" x14ac:dyDescent="0.25">
      <c r="B177" s="20"/>
      <c r="C177" s="20"/>
      <c r="D177" s="20"/>
      <c r="E177" s="20"/>
      <c r="F177" s="20"/>
    </row>
    <row r="178" spans="2:6" ht="23.25" customHeight="1" x14ac:dyDescent="0.25">
      <c r="B178" s="20"/>
      <c r="C178" s="20"/>
      <c r="D178" s="20"/>
      <c r="E178" s="20"/>
      <c r="F178" s="20"/>
    </row>
    <row r="179" spans="2:6" ht="23.25" customHeight="1" x14ac:dyDescent="0.25">
      <c r="B179" s="20"/>
      <c r="C179" s="20"/>
      <c r="D179" s="20"/>
      <c r="E179" s="20"/>
      <c r="F179" s="20"/>
    </row>
    <row r="180" spans="2:6" ht="23.25" customHeight="1" x14ac:dyDescent="0.25">
      <c r="B180" s="20"/>
      <c r="C180" s="20"/>
      <c r="D180" s="20"/>
      <c r="E180" s="20"/>
      <c r="F180" s="20"/>
    </row>
    <row r="181" spans="2:6" ht="23.25" customHeight="1" x14ac:dyDescent="0.25">
      <c r="B181" s="20"/>
      <c r="C181" s="20"/>
      <c r="D181" s="20"/>
      <c r="E181" s="20"/>
      <c r="F181" s="20"/>
    </row>
    <row r="182" spans="2:6" ht="23.25" customHeight="1" x14ac:dyDescent="0.25">
      <c r="B182" s="20"/>
      <c r="C182" s="20"/>
      <c r="D182" s="20"/>
      <c r="E182" s="20"/>
      <c r="F182" s="20"/>
    </row>
    <row r="183" spans="2:6" ht="23.25" customHeight="1" x14ac:dyDescent="0.25">
      <c r="B183" s="20"/>
      <c r="C183" s="20"/>
      <c r="D183" s="20"/>
      <c r="E183" s="20"/>
      <c r="F183" s="20"/>
    </row>
    <row r="184" spans="2:6" ht="23.25" customHeight="1" x14ac:dyDescent="0.25">
      <c r="B184" s="20"/>
      <c r="C184" s="20"/>
      <c r="D184" s="20"/>
      <c r="E184" s="20"/>
      <c r="F184" s="20"/>
    </row>
    <row r="185" spans="2:6" ht="23.25" customHeight="1" x14ac:dyDescent="0.25">
      <c r="B185" s="20"/>
      <c r="C185" s="20"/>
      <c r="D185" s="20"/>
      <c r="E185" s="20"/>
      <c r="F185" s="20"/>
    </row>
    <row r="186" spans="2:6" ht="23.25" customHeight="1" x14ac:dyDescent="0.25">
      <c r="B186" s="20"/>
      <c r="C186" s="20"/>
      <c r="D186" s="20"/>
      <c r="E186" s="20"/>
      <c r="F186" s="20"/>
    </row>
    <row r="187" spans="2:6" ht="23.25" customHeight="1" x14ac:dyDescent="0.25">
      <c r="B187" s="20"/>
      <c r="C187" s="20"/>
      <c r="D187" s="20"/>
      <c r="E187" s="20"/>
      <c r="F187" s="20"/>
    </row>
    <row r="188" spans="2:6" ht="23.25" customHeight="1" x14ac:dyDescent="0.25">
      <c r="B188" s="20"/>
      <c r="C188" s="20"/>
      <c r="D188" s="20"/>
      <c r="E188" s="20"/>
      <c r="F188" s="20"/>
    </row>
    <row r="189" spans="2:6" ht="23.25" customHeight="1" x14ac:dyDescent="0.25">
      <c r="B189" s="20"/>
      <c r="C189" s="20"/>
      <c r="D189" s="20"/>
      <c r="E189" s="20"/>
      <c r="F189" s="20"/>
    </row>
    <row r="190" spans="2:6" ht="23.25" customHeight="1" x14ac:dyDescent="0.25">
      <c r="B190" s="20"/>
      <c r="C190" s="20"/>
      <c r="D190" s="20"/>
      <c r="E190" s="20"/>
      <c r="F190" s="20"/>
    </row>
    <row r="191" spans="2:6" ht="23.25" customHeight="1" x14ac:dyDescent="0.25">
      <c r="B191" s="20"/>
      <c r="C191" s="20"/>
      <c r="D191" s="20"/>
      <c r="E191" s="20"/>
      <c r="F191" s="20"/>
    </row>
    <row r="192" spans="2:6" ht="23.25" customHeight="1" x14ac:dyDescent="0.25">
      <c r="B192" s="20"/>
      <c r="C192" s="20"/>
      <c r="D192" s="20"/>
      <c r="E192" s="20"/>
      <c r="F192" s="20"/>
    </row>
    <row r="193" spans="2:6" ht="23.25" customHeight="1" x14ac:dyDescent="0.25">
      <c r="B193" s="20"/>
      <c r="C193" s="20"/>
      <c r="D193" s="20"/>
      <c r="E193" s="20"/>
      <c r="F193" s="20"/>
    </row>
    <row r="194" spans="2:6" ht="23.25" customHeight="1" x14ac:dyDescent="0.25">
      <c r="B194" s="20"/>
      <c r="C194" s="20"/>
      <c r="D194" s="20"/>
      <c r="E194" s="20"/>
      <c r="F194" s="20"/>
    </row>
    <row r="195" spans="2:6" ht="23.25" customHeight="1" x14ac:dyDescent="0.25">
      <c r="B195" s="20"/>
      <c r="C195" s="20"/>
      <c r="D195" s="20"/>
      <c r="E195" s="20"/>
      <c r="F195" s="20"/>
    </row>
    <row r="196" spans="2:6" ht="23.25" customHeight="1" x14ac:dyDescent="0.25">
      <c r="B196" s="20"/>
      <c r="C196" s="20"/>
      <c r="D196" s="20"/>
      <c r="E196" s="20"/>
      <c r="F196" s="20"/>
    </row>
    <row r="197" spans="2:6" ht="23.25" customHeight="1" x14ac:dyDescent="0.25">
      <c r="B197" s="20"/>
      <c r="C197" s="20"/>
      <c r="D197" s="20"/>
      <c r="E197" s="20"/>
      <c r="F197" s="20"/>
    </row>
    <row r="198" spans="2:6" ht="23.25" customHeight="1" x14ac:dyDescent="0.25">
      <c r="B198" s="20"/>
      <c r="C198" s="20"/>
      <c r="D198" s="20"/>
      <c r="E198" s="20"/>
      <c r="F198" s="20"/>
    </row>
    <row r="199" spans="2:6" ht="23.25" customHeight="1" x14ac:dyDescent="0.25">
      <c r="B199" s="20"/>
      <c r="C199" s="20"/>
      <c r="D199" s="20"/>
      <c r="E199" s="20"/>
      <c r="F199" s="20"/>
    </row>
    <row r="200" spans="2:6" ht="23.25" customHeight="1" x14ac:dyDescent="0.25">
      <c r="B200" s="20"/>
      <c r="C200" s="20"/>
      <c r="D200" s="20"/>
      <c r="E200" s="20"/>
      <c r="F200" s="20"/>
    </row>
    <row r="201" spans="2:6" ht="23.25" customHeight="1" x14ac:dyDescent="0.25">
      <c r="B201" s="20"/>
      <c r="C201" s="20"/>
      <c r="D201" s="20"/>
      <c r="E201" s="20"/>
      <c r="F201" s="20"/>
    </row>
    <row r="202" spans="2:6" ht="23.25" customHeight="1" x14ac:dyDescent="0.25">
      <c r="B202" s="20"/>
      <c r="C202" s="20"/>
      <c r="D202" s="20"/>
      <c r="E202" s="20"/>
      <c r="F202" s="20"/>
    </row>
  </sheetData>
  <dataConsolidate/>
  <phoneticPr fontId="3" type="noConversion"/>
  <printOptions horizontalCentered="1" verticalCentered="1"/>
  <pageMargins left="0.59055118110236227" right="0.59055118110236227" top="0" bottom="0.39370078740157483" header="0.51181102362204722" footer="0.51181102362204722"/>
  <pageSetup paperSize="9" scale="16" orientation="landscape" useFirstPageNumber="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CBB7-4DA8-464B-9D85-7F07AD4383B0}">
  <dimension ref="A1:H124"/>
  <sheetViews>
    <sheetView tabSelected="1" zoomScale="80" zoomScaleNormal="80" workbookViewId="0">
      <selection sqref="A1:H1"/>
    </sheetView>
  </sheetViews>
  <sheetFormatPr defaultColWidth="11.453125" defaultRowHeight="15.5" x14ac:dyDescent="0.35"/>
  <cols>
    <col min="1" max="1" width="7.36328125" style="104" customWidth="1"/>
    <col min="2" max="2" width="56.26953125" style="104" customWidth="1"/>
    <col min="3" max="3" width="2.6328125" style="104" customWidth="1"/>
    <col min="4" max="4" width="11.453125" style="103"/>
    <col min="5" max="6" width="1.6328125" style="104" customWidth="1"/>
    <col min="7" max="7" width="11.453125" style="104"/>
    <col min="8" max="8" width="65.6328125" style="104" customWidth="1"/>
    <col min="9" max="16384" width="11.453125" style="104"/>
  </cols>
  <sheetData>
    <row r="1" spans="1:8" ht="21" x14ac:dyDescent="0.5">
      <c r="A1" s="106" t="s">
        <v>192</v>
      </c>
      <c r="B1" s="107"/>
      <c r="C1" s="107"/>
      <c r="D1" s="107"/>
      <c r="E1" s="107"/>
      <c r="F1" s="107"/>
      <c r="G1" s="107"/>
      <c r="H1" s="108"/>
    </row>
    <row r="2" spans="1:8" x14ac:dyDescent="0.35">
      <c r="A2" s="109"/>
      <c r="B2" s="110" t="s">
        <v>191</v>
      </c>
      <c r="C2" s="111"/>
      <c r="D2" s="111" t="s">
        <v>85</v>
      </c>
      <c r="E2" s="111"/>
      <c r="F2" s="111"/>
      <c r="G2" s="111" t="s">
        <v>86</v>
      </c>
      <c r="H2" s="112" t="s">
        <v>87</v>
      </c>
    </row>
    <row r="3" spans="1:8" x14ac:dyDescent="0.35">
      <c r="A3" s="113"/>
      <c r="B3" s="114" t="s">
        <v>36</v>
      </c>
      <c r="C3" s="115"/>
      <c r="D3" s="116"/>
      <c r="E3" s="115"/>
      <c r="F3" s="115"/>
      <c r="G3" s="117"/>
      <c r="H3" s="118"/>
    </row>
    <row r="4" spans="1:8" ht="46.5" x14ac:dyDescent="0.35">
      <c r="A4" s="113">
        <v>1</v>
      </c>
      <c r="B4" s="119" t="s">
        <v>105</v>
      </c>
      <c r="C4" s="115"/>
      <c r="D4" s="120">
        <f>((Anafi!E8/Anafi!B8)^0.333-1)*100</f>
        <v>-0.35458681585118779</v>
      </c>
      <c r="E4" s="121"/>
      <c r="F4" s="121"/>
      <c r="G4" s="117">
        <v>2</v>
      </c>
      <c r="H4" s="118" t="s">
        <v>88</v>
      </c>
    </row>
    <row r="5" spans="1:8" x14ac:dyDescent="0.35">
      <c r="A5" s="113"/>
      <c r="B5" s="119"/>
      <c r="C5" s="115"/>
      <c r="D5" s="116"/>
      <c r="E5" s="115"/>
      <c r="F5" s="115"/>
      <c r="G5" s="117"/>
      <c r="H5" s="118"/>
    </row>
    <row r="6" spans="1:8" ht="46.5" x14ac:dyDescent="0.35">
      <c r="A6" s="122">
        <f>A4+1</f>
        <v>2</v>
      </c>
      <c r="B6" s="123" t="s">
        <v>106</v>
      </c>
      <c r="C6" s="124"/>
      <c r="D6" s="125">
        <f>((Anafi!E9/Anafi!B9)^0.333-1)*100</f>
        <v>-0.81373663683634856</v>
      </c>
      <c r="E6" s="126"/>
      <c r="F6" s="126"/>
      <c r="G6" s="127">
        <v>2</v>
      </c>
      <c r="H6" s="128" t="s">
        <v>177</v>
      </c>
    </row>
    <row r="7" spans="1:8" x14ac:dyDescent="0.35">
      <c r="A7" s="113"/>
      <c r="B7" s="119"/>
      <c r="C7" s="115"/>
      <c r="D7" s="116"/>
      <c r="E7" s="115"/>
      <c r="F7" s="115"/>
      <c r="G7" s="117"/>
      <c r="H7" s="118"/>
    </row>
    <row r="8" spans="1:8" ht="77.5" x14ac:dyDescent="0.35">
      <c r="A8" s="113">
        <f>A6+1</f>
        <v>3</v>
      </c>
      <c r="B8" s="119" t="s">
        <v>187</v>
      </c>
      <c r="C8" s="115"/>
      <c r="D8" s="116"/>
      <c r="E8" s="115"/>
      <c r="F8" s="115"/>
      <c r="G8" s="117">
        <v>1</v>
      </c>
      <c r="H8" s="129" t="s">
        <v>140</v>
      </c>
    </row>
    <row r="9" spans="1:8" x14ac:dyDescent="0.35">
      <c r="A9" s="113"/>
      <c r="B9" s="119" t="s">
        <v>107</v>
      </c>
      <c r="C9" s="115"/>
      <c r="D9" s="116"/>
      <c r="E9" s="115"/>
      <c r="F9" s="115"/>
      <c r="G9" s="117"/>
      <c r="H9" s="118"/>
    </row>
    <row r="10" spans="1:8" x14ac:dyDescent="0.35">
      <c r="A10" s="113"/>
      <c r="B10" s="119" t="s">
        <v>108</v>
      </c>
      <c r="C10" s="115"/>
      <c r="D10" s="116" t="s">
        <v>89</v>
      </c>
      <c r="E10" s="115"/>
      <c r="F10" s="115"/>
      <c r="G10" s="117"/>
      <c r="H10" s="118"/>
    </row>
    <row r="11" spans="1:8" x14ac:dyDescent="0.35">
      <c r="A11" s="113"/>
      <c r="B11" s="119"/>
      <c r="C11" s="115"/>
      <c r="D11" s="116"/>
      <c r="E11" s="115"/>
      <c r="F11" s="115"/>
      <c r="G11" s="117"/>
      <c r="H11" s="118"/>
    </row>
    <row r="12" spans="1:8" ht="31" x14ac:dyDescent="0.35">
      <c r="A12" s="122">
        <f>A8+1</f>
        <v>4</v>
      </c>
      <c r="B12" s="123" t="s">
        <v>109</v>
      </c>
      <c r="C12" s="124"/>
      <c r="D12" s="130"/>
      <c r="E12" s="124"/>
      <c r="F12" s="124"/>
      <c r="G12" s="127">
        <v>1</v>
      </c>
      <c r="H12" s="131" t="s">
        <v>111</v>
      </c>
    </row>
    <row r="13" spans="1:8" x14ac:dyDescent="0.35">
      <c r="A13" s="122"/>
      <c r="B13" s="123" t="s">
        <v>107</v>
      </c>
      <c r="C13" s="124"/>
      <c r="D13" s="130"/>
      <c r="E13" s="124"/>
      <c r="F13" s="124"/>
      <c r="G13" s="127"/>
      <c r="H13" s="128"/>
    </row>
    <row r="14" spans="1:8" x14ac:dyDescent="0.35">
      <c r="A14" s="122"/>
      <c r="B14" s="123" t="s">
        <v>108</v>
      </c>
      <c r="C14" s="124"/>
      <c r="D14" s="130" t="s">
        <v>89</v>
      </c>
      <c r="E14" s="124"/>
      <c r="F14" s="124"/>
      <c r="G14" s="127"/>
      <c r="H14" s="128"/>
    </row>
    <row r="15" spans="1:8" x14ac:dyDescent="0.35">
      <c r="A15" s="113"/>
      <c r="B15" s="119"/>
      <c r="C15" s="115"/>
      <c r="D15" s="116"/>
      <c r="E15" s="115"/>
      <c r="F15" s="115"/>
      <c r="G15" s="117"/>
      <c r="H15" s="118"/>
    </row>
    <row r="16" spans="1:8" ht="62" x14ac:dyDescent="0.35">
      <c r="A16" s="113">
        <f>A12+1</f>
        <v>5</v>
      </c>
      <c r="B16" s="119" t="s">
        <v>110</v>
      </c>
      <c r="C16" s="115"/>
      <c r="D16" s="120">
        <f>((D4/100-D6/100)/(1+D4/100))*100</f>
        <v>0.46078369923222962</v>
      </c>
      <c r="E16" s="121"/>
      <c r="F16" s="121"/>
      <c r="G16" s="117">
        <v>1</v>
      </c>
      <c r="H16" s="129">
        <v>0</v>
      </c>
    </row>
    <row r="17" spans="1:8" x14ac:dyDescent="0.35">
      <c r="A17" s="113"/>
      <c r="B17" s="119"/>
      <c r="C17" s="115"/>
      <c r="D17" s="120"/>
      <c r="E17" s="121"/>
      <c r="F17" s="121"/>
      <c r="G17" s="117"/>
      <c r="H17" s="129"/>
    </row>
    <row r="18" spans="1:8" x14ac:dyDescent="0.35">
      <c r="A18" s="122">
        <f>A16+1</f>
        <v>6</v>
      </c>
      <c r="B18" s="123" t="s">
        <v>99</v>
      </c>
      <c r="C18" s="124"/>
      <c r="D18" s="130"/>
      <c r="E18" s="124"/>
      <c r="F18" s="124"/>
      <c r="G18" s="127">
        <v>2</v>
      </c>
      <c r="H18" s="128"/>
    </row>
    <row r="19" spans="1:8" ht="46.5" x14ac:dyDescent="0.35">
      <c r="A19" s="122"/>
      <c r="B19" s="123" t="s">
        <v>189</v>
      </c>
      <c r="C19" s="124"/>
      <c r="D19" s="130" t="s">
        <v>36</v>
      </c>
      <c r="E19" s="124"/>
      <c r="F19" s="124"/>
      <c r="G19" s="127"/>
      <c r="H19" s="131" t="s">
        <v>112</v>
      </c>
    </row>
    <row r="20" spans="1:8" x14ac:dyDescent="0.35">
      <c r="A20" s="122"/>
      <c r="B20" s="132" t="s">
        <v>154</v>
      </c>
      <c r="C20" s="124"/>
      <c r="D20" s="130" t="s">
        <v>36</v>
      </c>
      <c r="E20" s="124"/>
      <c r="F20" s="124"/>
      <c r="G20" s="127"/>
      <c r="H20" s="128" t="s">
        <v>36</v>
      </c>
    </row>
    <row r="21" spans="1:8" x14ac:dyDescent="0.35">
      <c r="A21" s="122"/>
      <c r="B21" s="132" t="s">
        <v>90</v>
      </c>
      <c r="C21" s="124"/>
      <c r="D21" s="130" t="s">
        <v>89</v>
      </c>
      <c r="E21" s="124"/>
      <c r="F21" s="124"/>
      <c r="G21" s="127"/>
      <c r="H21" s="133" t="s">
        <v>36</v>
      </c>
    </row>
    <row r="22" spans="1:8" x14ac:dyDescent="0.35">
      <c r="A22" s="122"/>
      <c r="B22" s="132" t="s">
        <v>190</v>
      </c>
      <c r="C22" s="124"/>
      <c r="D22" s="130" t="s">
        <v>89</v>
      </c>
      <c r="E22" s="124"/>
      <c r="F22" s="124"/>
      <c r="G22" s="127"/>
      <c r="H22" s="133" t="s">
        <v>36</v>
      </c>
    </row>
    <row r="23" spans="1:8" x14ac:dyDescent="0.35">
      <c r="A23" s="113"/>
      <c r="B23" s="114" t="s">
        <v>36</v>
      </c>
      <c r="C23" s="115"/>
      <c r="D23" s="116"/>
      <c r="E23" s="115"/>
      <c r="F23" s="115"/>
      <c r="G23" s="117"/>
      <c r="H23" s="118"/>
    </row>
    <row r="24" spans="1:8" ht="46.5" x14ac:dyDescent="0.35">
      <c r="A24" s="113">
        <f>A18+1</f>
        <v>7</v>
      </c>
      <c r="B24" s="134" t="s">
        <v>182</v>
      </c>
      <c r="C24" s="115"/>
      <c r="D24" s="116"/>
      <c r="E24" s="115"/>
      <c r="F24" s="115"/>
      <c r="G24" s="117">
        <v>2</v>
      </c>
      <c r="H24" s="129" t="s">
        <v>178</v>
      </c>
    </row>
    <row r="25" spans="1:8" x14ac:dyDescent="0.35">
      <c r="A25" s="113"/>
      <c r="B25" s="135">
        <v>0</v>
      </c>
      <c r="C25" s="136"/>
      <c r="D25" s="137"/>
      <c r="E25" s="115"/>
      <c r="F25" s="115"/>
      <c r="G25" s="117"/>
      <c r="H25" s="118" t="s">
        <v>36</v>
      </c>
    </row>
    <row r="26" spans="1:8" x14ac:dyDescent="0.35">
      <c r="A26" s="113"/>
      <c r="B26" s="135">
        <v>0.25</v>
      </c>
      <c r="C26" s="136"/>
      <c r="D26" s="137"/>
      <c r="E26" s="115"/>
      <c r="F26" s="115"/>
      <c r="G26" s="117"/>
      <c r="H26" s="118"/>
    </row>
    <row r="27" spans="1:8" x14ac:dyDescent="0.35">
      <c r="A27" s="113"/>
      <c r="B27" s="135">
        <v>0.5</v>
      </c>
      <c r="C27" s="136"/>
      <c r="D27" s="137"/>
      <c r="E27" s="115"/>
      <c r="F27" s="115"/>
      <c r="G27" s="117"/>
      <c r="H27" s="129" t="s">
        <v>36</v>
      </c>
    </row>
    <row r="28" spans="1:8" x14ac:dyDescent="0.35">
      <c r="A28" s="113"/>
      <c r="B28" s="135">
        <v>1</v>
      </c>
      <c r="C28" s="136"/>
      <c r="D28" s="137" t="s">
        <v>89</v>
      </c>
      <c r="E28" s="115"/>
      <c r="F28" s="115"/>
      <c r="G28" s="117"/>
      <c r="H28" s="129" t="s">
        <v>36</v>
      </c>
    </row>
    <row r="29" spans="1:8" x14ac:dyDescent="0.35">
      <c r="A29" s="113"/>
      <c r="B29" s="138"/>
      <c r="C29" s="115"/>
      <c r="D29" s="116"/>
      <c r="E29" s="115"/>
      <c r="F29" s="115"/>
      <c r="G29" s="117"/>
      <c r="H29" s="129"/>
    </row>
    <row r="30" spans="1:8" ht="93" x14ac:dyDescent="0.35">
      <c r="A30" s="122">
        <f>A24+1</f>
        <v>8</v>
      </c>
      <c r="B30" s="123" t="s">
        <v>168</v>
      </c>
      <c r="C30" s="124"/>
      <c r="D30" s="130"/>
      <c r="E30" s="124"/>
      <c r="F30" s="124"/>
      <c r="G30" s="127">
        <v>2</v>
      </c>
      <c r="H30" s="139" t="s">
        <v>181</v>
      </c>
    </row>
    <row r="31" spans="1:8" x14ac:dyDescent="0.35">
      <c r="A31" s="122"/>
      <c r="B31" s="140">
        <v>0</v>
      </c>
      <c r="C31" s="141"/>
      <c r="D31" s="130"/>
      <c r="E31" s="124"/>
      <c r="F31" s="124"/>
      <c r="G31" s="127"/>
      <c r="H31" s="131"/>
    </row>
    <row r="32" spans="1:8" x14ac:dyDescent="0.35">
      <c r="A32" s="122"/>
      <c r="B32" s="140">
        <v>0.1</v>
      </c>
      <c r="C32" s="141"/>
      <c r="D32" s="130"/>
      <c r="E32" s="124"/>
      <c r="F32" s="124"/>
      <c r="G32" s="127"/>
      <c r="H32" s="131"/>
    </row>
    <row r="33" spans="1:8" x14ac:dyDescent="0.35">
      <c r="A33" s="122"/>
      <c r="B33" s="140">
        <v>0.5</v>
      </c>
      <c r="C33" s="141"/>
      <c r="D33" s="130" t="s">
        <v>89</v>
      </c>
      <c r="E33" s="124"/>
      <c r="F33" s="124"/>
      <c r="G33" s="127"/>
      <c r="H33" s="131"/>
    </row>
    <row r="34" spans="1:8" x14ac:dyDescent="0.35">
      <c r="A34" s="122"/>
      <c r="B34" s="140">
        <v>1</v>
      </c>
      <c r="C34" s="141"/>
      <c r="D34" s="130"/>
      <c r="E34" s="124"/>
      <c r="F34" s="124"/>
      <c r="G34" s="127"/>
      <c r="H34" s="131"/>
    </row>
    <row r="35" spans="1:8" x14ac:dyDescent="0.35">
      <c r="A35" s="113"/>
      <c r="B35" s="134"/>
      <c r="C35" s="115"/>
      <c r="D35" s="116"/>
      <c r="E35" s="115"/>
      <c r="F35" s="115"/>
      <c r="G35" s="117"/>
      <c r="H35" s="129"/>
    </row>
    <row r="36" spans="1:8" ht="46.5" x14ac:dyDescent="0.35">
      <c r="A36" s="113">
        <f>A30+1</f>
        <v>9</v>
      </c>
      <c r="B36" s="119" t="s">
        <v>169</v>
      </c>
      <c r="C36" s="136"/>
      <c r="D36" s="116"/>
      <c r="E36" s="115"/>
      <c r="F36" s="115"/>
      <c r="G36" s="117">
        <v>2</v>
      </c>
      <c r="H36" s="129" t="s">
        <v>179</v>
      </c>
    </row>
    <row r="37" spans="1:8" x14ac:dyDescent="0.35">
      <c r="A37" s="113"/>
      <c r="B37" s="135">
        <v>0</v>
      </c>
      <c r="C37" s="136"/>
      <c r="D37" s="137"/>
      <c r="E37" s="115"/>
      <c r="F37" s="115"/>
      <c r="G37" s="117"/>
      <c r="H37" s="129"/>
    </row>
    <row r="38" spans="1:8" x14ac:dyDescent="0.35">
      <c r="A38" s="113"/>
      <c r="B38" s="135">
        <v>0.1</v>
      </c>
      <c r="C38" s="136"/>
      <c r="D38" s="116" t="s">
        <v>89</v>
      </c>
      <c r="E38" s="115"/>
      <c r="F38" s="115"/>
      <c r="G38" s="117"/>
      <c r="H38" s="129"/>
    </row>
    <row r="39" spans="1:8" x14ac:dyDescent="0.35">
      <c r="A39" s="113"/>
      <c r="B39" s="135">
        <v>0.5</v>
      </c>
      <c r="C39" s="136"/>
      <c r="D39" s="116"/>
      <c r="E39" s="115"/>
      <c r="F39" s="115"/>
      <c r="G39" s="117"/>
      <c r="H39" s="129"/>
    </row>
    <row r="40" spans="1:8" x14ac:dyDescent="0.35">
      <c r="A40" s="113"/>
      <c r="B40" s="135">
        <v>1</v>
      </c>
      <c r="C40" s="115"/>
      <c r="D40" s="116"/>
      <c r="E40" s="115"/>
      <c r="F40" s="115"/>
      <c r="G40" s="117"/>
      <c r="H40" s="129"/>
    </row>
    <row r="41" spans="1:8" x14ac:dyDescent="0.35">
      <c r="A41" s="113"/>
      <c r="B41" s="134"/>
      <c r="C41" s="115"/>
      <c r="D41" s="116"/>
      <c r="E41" s="115"/>
      <c r="F41" s="115"/>
      <c r="G41" s="117"/>
      <c r="H41" s="129"/>
    </row>
    <row r="42" spans="1:8" ht="46.5" x14ac:dyDescent="0.35">
      <c r="A42" s="122">
        <f>A36+1</f>
        <v>10</v>
      </c>
      <c r="B42" s="123" t="s">
        <v>170</v>
      </c>
      <c r="C42" s="141"/>
      <c r="D42" s="142"/>
      <c r="E42" s="124"/>
      <c r="F42" s="124"/>
      <c r="G42" s="127">
        <v>2</v>
      </c>
      <c r="H42" s="131" t="s">
        <v>141</v>
      </c>
    </row>
    <row r="43" spans="1:8" x14ac:dyDescent="0.35">
      <c r="A43" s="122"/>
      <c r="B43" s="140">
        <v>0</v>
      </c>
      <c r="C43" s="141"/>
      <c r="D43" s="130" t="s">
        <v>89</v>
      </c>
      <c r="E43" s="124"/>
      <c r="F43" s="124"/>
      <c r="G43" s="127"/>
      <c r="H43" s="131"/>
    </row>
    <row r="44" spans="1:8" x14ac:dyDescent="0.35">
      <c r="A44" s="122"/>
      <c r="B44" s="140">
        <v>0.1</v>
      </c>
      <c r="C44" s="141"/>
      <c r="D44" s="130"/>
      <c r="E44" s="124"/>
      <c r="F44" s="124"/>
      <c r="G44" s="127"/>
      <c r="H44" s="131"/>
    </row>
    <row r="45" spans="1:8" x14ac:dyDescent="0.35">
      <c r="A45" s="122"/>
      <c r="B45" s="140">
        <v>0.5</v>
      </c>
      <c r="C45" s="141"/>
      <c r="D45" s="130"/>
      <c r="E45" s="124"/>
      <c r="F45" s="124"/>
      <c r="G45" s="127"/>
      <c r="H45" s="131"/>
    </row>
    <row r="46" spans="1:8" x14ac:dyDescent="0.35">
      <c r="A46" s="122"/>
      <c r="B46" s="140">
        <v>1</v>
      </c>
      <c r="C46" s="124"/>
      <c r="D46" s="130"/>
      <c r="E46" s="124"/>
      <c r="F46" s="124"/>
      <c r="G46" s="127"/>
      <c r="H46" s="131"/>
    </row>
    <row r="47" spans="1:8" ht="93" x14ac:dyDescent="0.35">
      <c r="A47" s="113">
        <f>A42+1</f>
        <v>11</v>
      </c>
      <c r="B47" s="119" t="s">
        <v>113</v>
      </c>
      <c r="C47" s="115"/>
      <c r="D47" s="116">
        <f>(50%*Anafi!E21+90%*Anafi!E23+100%*Anafi!E27+50%*Anafi!E24-50%*Anafi!E25)/((Anafi!E8-100%*Anafi!E16-50%*Anafi!E21-10%*Anafi!E23-50%*Anafi!E24+50%*Anafi!E25)/Anafi!E8)</f>
        <v>22294.602094647013</v>
      </c>
      <c r="E47" s="117"/>
      <c r="F47" s="117"/>
      <c r="G47" s="117">
        <v>1</v>
      </c>
      <c r="H47" s="129" t="s">
        <v>180</v>
      </c>
    </row>
    <row r="48" spans="1:8" x14ac:dyDescent="0.35">
      <c r="A48" s="113"/>
      <c r="B48" s="134"/>
      <c r="C48" s="115"/>
      <c r="D48" s="116"/>
      <c r="E48" s="115"/>
      <c r="F48" s="115"/>
      <c r="G48" s="117"/>
      <c r="H48" s="129"/>
    </row>
    <row r="49" spans="1:8" ht="62" x14ac:dyDescent="0.35">
      <c r="A49" s="122">
        <f>A47+1</f>
        <v>12</v>
      </c>
      <c r="B49" s="123" t="s">
        <v>144</v>
      </c>
      <c r="C49" s="124"/>
      <c r="D49" s="130"/>
      <c r="E49" s="124"/>
      <c r="F49" s="124"/>
      <c r="G49" s="127">
        <v>1</v>
      </c>
      <c r="H49" s="131" t="s">
        <v>186</v>
      </c>
    </row>
    <row r="50" spans="1:8" x14ac:dyDescent="0.35">
      <c r="A50" s="122"/>
      <c r="B50" s="141"/>
      <c r="C50" s="124"/>
      <c r="D50" s="130"/>
      <c r="E50" s="124"/>
      <c r="F50" s="124"/>
      <c r="G50" s="127"/>
      <c r="H50" s="131"/>
    </row>
    <row r="51" spans="1:8" ht="31" x14ac:dyDescent="0.35">
      <c r="A51" s="122"/>
      <c r="B51" s="123" t="s">
        <v>162</v>
      </c>
      <c r="C51" s="124"/>
      <c r="D51" s="130"/>
      <c r="E51" s="124"/>
      <c r="F51" s="124"/>
      <c r="G51" s="127"/>
      <c r="H51" s="131"/>
    </row>
    <row r="52" spans="1:8" ht="46.5" x14ac:dyDescent="0.35">
      <c r="A52" s="122"/>
      <c r="B52" s="123" t="s">
        <v>142</v>
      </c>
      <c r="C52" s="124"/>
      <c r="D52" s="130"/>
      <c r="E52" s="124"/>
      <c r="F52" s="124"/>
      <c r="G52" s="127"/>
      <c r="H52" s="131"/>
    </row>
    <row r="53" spans="1:8" ht="46.5" x14ac:dyDescent="0.35">
      <c r="A53" s="122"/>
      <c r="B53" s="123" t="s">
        <v>143</v>
      </c>
      <c r="C53" s="124"/>
      <c r="D53" s="130" t="s">
        <v>89</v>
      </c>
      <c r="E53" s="124"/>
      <c r="F53" s="124"/>
      <c r="G53" s="127"/>
      <c r="H53" s="131"/>
    </row>
    <row r="54" spans="1:8" x14ac:dyDescent="0.35">
      <c r="A54" s="113"/>
      <c r="B54" s="119"/>
      <c r="C54" s="115"/>
      <c r="D54" s="116"/>
      <c r="E54" s="115"/>
      <c r="F54" s="115"/>
      <c r="G54" s="117"/>
      <c r="H54" s="129"/>
    </row>
    <row r="55" spans="1:8" ht="46.5" x14ac:dyDescent="0.35">
      <c r="A55" s="113">
        <f>A49+1</f>
        <v>13</v>
      </c>
      <c r="B55" s="119" t="s">
        <v>163</v>
      </c>
      <c r="C55" s="115"/>
      <c r="D55" s="116"/>
      <c r="E55" s="115"/>
      <c r="F55" s="115"/>
      <c r="G55" s="117">
        <v>2</v>
      </c>
      <c r="H55" s="129" t="s">
        <v>167</v>
      </c>
    </row>
    <row r="56" spans="1:8" ht="31" x14ac:dyDescent="0.35">
      <c r="A56" s="113"/>
      <c r="B56" s="119" t="s">
        <v>164</v>
      </c>
      <c r="C56" s="115"/>
      <c r="D56" s="116"/>
      <c r="E56" s="115"/>
      <c r="F56" s="115"/>
      <c r="G56" s="117"/>
      <c r="H56" s="129"/>
    </row>
    <row r="57" spans="1:8" ht="31" x14ac:dyDescent="0.35">
      <c r="A57" s="113"/>
      <c r="B57" s="119" t="s">
        <v>165</v>
      </c>
      <c r="C57" s="115"/>
      <c r="D57" s="116"/>
      <c r="E57" s="115"/>
      <c r="F57" s="115"/>
      <c r="G57" s="117"/>
      <c r="H57" s="129"/>
    </row>
    <row r="58" spans="1:8" ht="31" x14ac:dyDescent="0.35">
      <c r="A58" s="113"/>
      <c r="B58" s="119" t="s">
        <v>166</v>
      </c>
      <c r="C58" s="115"/>
      <c r="D58" s="116"/>
      <c r="E58" s="115"/>
      <c r="F58" s="115"/>
      <c r="G58" s="117"/>
      <c r="H58" s="129"/>
    </row>
    <row r="59" spans="1:8" ht="31" x14ac:dyDescent="0.35">
      <c r="A59" s="113"/>
      <c r="B59" s="119" t="s">
        <v>171</v>
      </c>
      <c r="C59" s="117" t="s">
        <v>89</v>
      </c>
      <c r="D59" s="116"/>
      <c r="E59" s="115"/>
      <c r="F59" s="115"/>
      <c r="G59" s="117"/>
      <c r="H59" s="129"/>
    </row>
    <row r="60" spans="1:8" ht="46.5" x14ac:dyDescent="0.35">
      <c r="A60" s="122">
        <f>A55+1</f>
        <v>14</v>
      </c>
      <c r="B60" s="123" t="s">
        <v>145</v>
      </c>
      <c r="C60" s="124"/>
      <c r="D60" s="130"/>
      <c r="E60" s="124"/>
      <c r="F60" s="124"/>
      <c r="G60" s="127">
        <v>2</v>
      </c>
      <c r="H60" s="131" t="s">
        <v>146</v>
      </c>
    </row>
    <row r="61" spans="1:8" ht="46.5" x14ac:dyDescent="0.35">
      <c r="A61" s="122"/>
      <c r="B61" s="123" t="s">
        <v>172</v>
      </c>
      <c r="C61" s="124"/>
      <c r="D61" s="130" t="s">
        <v>89</v>
      </c>
      <c r="E61" s="124"/>
      <c r="F61" s="124"/>
      <c r="G61" s="127"/>
      <c r="H61" s="131"/>
    </row>
    <row r="62" spans="1:8" ht="46.5" x14ac:dyDescent="0.35">
      <c r="A62" s="122"/>
      <c r="B62" s="123" t="s">
        <v>173</v>
      </c>
      <c r="C62" s="124"/>
      <c r="D62" s="130"/>
      <c r="E62" s="124"/>
      <c r="F62" s="124"/>
      <c r="G62" s="127"/>
      <c r="H62" s="128" t="s">
        <v>36</v>
      </c>
    </row>
    <row r="63" spans="1:8" ht="46.5" x14ac:dyDescent="0.35">
      <c r="A63" s="122"/>
      <c r="B63" s="123" t="s">
        <v>174</v>
      </c>
      <c r="C63" s="124"/>
      <c r="D63" s="130" t="s">
        <v>36</v>
      </c>
      <c r="E63" s="124"/>
      <c r="F63" s="124"/>
      <c r="G63" s="127"/>
      <c r="H63" s="128" t="s">
        <v>36</v>
      </c>
    </row>
    <row r="64" spans="1:8" ht="46.5" x14ac:dyDescent="0.35">
      <c r="A64" s="122"/>
      <c r="B64" s="123" t="s">
        <v>175</v>
      </c>
      <c r="C64" s="124"/>
      <c r="D64" s="130"/>
      <c r="E64" s="124"/>
      <c r="F64" s="124"/>
      <c r="G64" s="127"/>
      <c r="H64" s="128"/>
    </row>
    <row r="65" spans="1:8" x14ac:dyDescent="0.35">
      <c r="A65" s="113"/>
      <c r="B65" s="119"/>
      <c r="C65" s="115"/>
      <c r="D65" s="116"/>
      <c r="E65" s="115"/>
      <c r="F65" s="115"/>
      <c r="G65" s="117"/>
      <c r="H65" s="118"/>
    </row>
    <row r="66" spans="1:8" ht="46.5" x14ac:dyDescent="0.35">
      <c r="A66" s="113">
        <f>A60+1</f>
        <v>15</v>
      </c>
      <c r="B66" s="119" t="s">
        <v>114</v>
      </c>
      <c r="C66" s="115"/>
      <c r="D66" s="116">
        <f>Anafi!B75/Anafi!B8/1.18*365</f>
        <v>32.946192517763372</v>
      </c>
      <c r="E66" s="115"/>
      <c r="F66" s="115"/>
      <c r="G66" s="117">
        <v>2</v>
      </c>
      <c r="H66" s="129" t="s">
        <v>116</v>
      </c>
    </row>
    <row r="67" spans="1:8" x14ac:dyDescent="0.35">
      <c r="A67" s="113"/>
      <c r="B67" s="114" t="s">
        <v>36</v>
      </c>
      <c r="C67" s="115"/>
      <c r="D67" s="116"/>
      <c r="E67" s="143"/>
      <c r="F67" s="143"/>
      <c r="G67" s="117"/>
      <c r="H67" s="118"/>
    </row>
    <row r="68" spans="1:8" ht="46.5" x14ac:dyDescent="0.35">
      <c r="A68" s="122">
        <f>A66+1</f>
        <v>16</v>
      </c>
      <c r="B68" s="123" t="s">
        <v>115</v>
      </c>
      <c r="C68" s="124"/>
      <c r="D68" s="130">
        <f>Anafi!C75/Anafi!C8/1.18*365</f>
        <v>89.490649781363047</v>
      </c>
      <c r="E68" s="124"/>
      <c r="F68" s="124"/>
      <c r="G68" s="127">
        <v>1</v>
      </c>
      <c r="H68" s="131" t="s">
        <v>117</v>
      </c>
    </row>
    <row r="69" spans="1:8" x14ac:dyDescent="0.35">
      <c r="A69" s="113"/>
      <c r="B69" s="114" t="s">
        <v>36</v>
      </c>
      <c r="C69" s="115"/>
      <c r="D69" s="116"/>
      <c r="E69" s="143"/>
      <c r="F69" s="143"/>
      <c r="G69" s="117"/>
      <c r="H69" s="118"/>
    </row>
    <row r="70" spans="1:8" ht="46.5" x14ac:dyDescent="0.35">
      <c r="A70" s="113">
        <f>A68+1</f>
        <v>17</v>
      </c>
      <c r="B70" s="119" t="s">
        <v>118</v>
      </c>
      <c r="C70" s="115"/>
      <c r="D70" s="116">
        <f>Anafi!D75/Anafi!D8/1.18*365</f>
        <v>76.585267956980744</v>
      </c>
      <c r="E70" s="115"/>
      <c r="F70" s="115"/>
      <c r="G70" s="117">
        <v>1</v>
      </c>
      <c r="H70" s="129" t="s">
        <v>120</v>
      </c>
    </row>
    <row r="71" spans="1:8" x14ac:dyDescent="0.35">
      <c r="A71" s="113"/>
      <c r="B71" s="114"/>
      <c r="C71" s="115"/>
      <c r="D71" s="116"/>
      <c r="E71" s="143"/>
      <c r="F71" s="143"/>
      <c r="G71" s="117"/>
      <c r="H71" s="118"/>
    </row>
    <row r="72" spans="1:8" ht="46.5" x14ac:dyDescent="0.35">
      <c r="A72" s="122">
        <f>A70+1</f>
        <v>18</v>
      </c>
      <c r="B72" s="123" t="s">
        <v>119</v>
      </c>
      <c r="C72" s="124"/>
      <c r="D72" s="130">
        <f>Anafi!E75/Anafi!E8/1.18*365</f>
        <v>41.65613967037492</v>
      </c>
      <c r="E72" s="124"/>
      <c r="F72" s="124"/>
      <c r="G72" s="127">
        <v>1</v>
      </c>
      <c r="H72" s="131" t="s">
        <v>121</v>
      </c>
    </row>
    <row r="73" spans="1:8" x14ac:dyDescent="0.35">
      <c r="A73" s="113"/>
      <c r="B73" s="119"/>
      <c r="C73" s="115"/>
      <c r="D73" s="116"/>
      <c r="E73" s="143"/>
      <c r="F73" s="143"/>
      <c r="G73" s="117"/>
      <c r="H73" s="118"/>
    </row>
    <row r="74" spans="1:8" ht="62" x14ac:dyDescent="0.35">
      <c r="A74" s="113">
        <f>A72+1</f>
        <v>19</v>
      </c>
      <c r="B74" s="119" t="s">
        <v>122</v>
      </c>
      <c r="C74" s="115"/>
      <c r="D74" s="116">
        <f>Anafi!C71/Anafi!C8/1.18*365</f>
        <v>39.64322590296058</v>
      </c>
      <c r="E74" s="115"/>
      <c r="F74" s="115"/>
      <c r="G74" s="117">
        <v>2</v>
      </c>
      <c r="H74" s="129" t="s">
        <v>123</v>
      </c>
    </row>
    <row r="75" spans="1:8" x14ac:dyDescent="0.35">
      <c r="A75" s="113"/>
      <c r="B75" s="119" t="s">
        <v>36</v>
      </c>
      <c r="C75" s="115"/>
      <c r="D75" s="116"/>
      <c r="E75" s="143"/>
      <c r="F75" s="143"/>
      <c r="G75" s="117"/>
      <c r="H75" s="118"/>
    </row>
    <row r="76" spans="1:8" ht="62" x14ac:dyDescent="0.35">
      <c r="A76" s="122">
        <f>A74+1</f>
        <v>20</v>
      </c>
      <c r="B76" s="123" t="s">
        <v>188</v>
      </c>
      <c r="C76" s="124"/>
      <c r="D76" s="130">
        <f>Anafi!B73/(Anafi!B21+Anafi!B16)/1.18*365</f>
        <v>69.677949482372014</v>
      </c>
      <c r="E76" s="124"/>
      <c r="F76" s="124"/>
      <c r="G76" s="127">
        <v>2</v>
      </c>
      <c r="H76" s="131" t="s">
        <v>129</v>
      </c>
    </row>
    <row r="77" spans="1:8" x14ac:dyDescent="0.35">
      <c r="A77" s="113"/>
      <c r="B77" s="114" t="s">
        <v>36</v>
      </c>
      <c r="C77" s="115"/>
      <c r="D77" s="116"/>
      <c r="E77" s="143"/>
      <c r="F77" s="143"/>
      <c r="G77" s="117"/>
      <c r="H77" s="118"/>
    </row>
    <row r="78" spans="1:8" ht="62" x14ac:dyDescent="0.35">
      <c r="A78" s="113">
        <f>A76+1</f>
        <v>21</v>
      </c>
      <c r="B78" s="119" t="s">
        <v>125</v>
      </c>
      <c r="C78" s="115"/>
      <c r="D78" s="116">
        <f>Anafi!C73/(Anafi!C16+Anafi!C21)/1.18*365</f>
        <v>35.622762911781706</v>
      </c>
      <c r="E78" s="115"/>
      <c r="F78" s="115"/>
      <c r="G78" s="117">
        <v>1</v>
      </c>
      <c r="H78" s="129" t="s">
        <v>129</v>
      </c>
    </row>
    <row r="79" spans="1:8" x14ac:dyDescent="0.35">
      <c r="A79" s="113"/>
      <c r="B79" s="114" t="s">
        <v>36</v>
      </c>
      <c r="C79" s="115"/>
      <c r="D79" s="116"/>
      <c r="E79" s="143"/>
      <c r="F79" s="143"/>
      <c r="G79" s="117"/>
      <c r="H79" s="118"/>
    </row>
    <row r="80" spans="1:8" ht="62" x14ac:dyDescent="0.35">
      <c r="A80" s="122">
        <f>A78+1</f>
        <v>22</v>
      </c>
      <c r="B80" s="123" t="s">
        <v>126</v>
      </c>
      <c r="C80" s="124"/>
      <c r="D80" s="130">
        <f>Anafi!D73/(Anafi!D16+Anafi!D21)/1.18*365</f>
        <v>69.086468492167242</v>
      </c>
      <c r="E80" s="124"/>
      <c r="F80" s="124"/>
      <c r="G80" s="127">
        <v>1</v>
      </c>
      <c r="H80" s="131" t="s">
        <v>129</v>
      </c>
    </row>
    <row r="81" spans="1:8" x14ac:dyDescent="0.35">
      <c r="A81" s="113"/>
      <c r="B81" s="114" t="s">
        <v>36</v>
      </c>
      <c r="C81" s="115"/>
      <c r="D81" s="116"/>
      <c r="E81" s="115"/>
      <c r="F81" s="115"/>
      <c r="G81" s="117"/>
      <c r="H81" s="118"/>
    </row>
    <row r="82" spans="1:8" ht="62" x14ac:dyDescent="0.35">
      <c r="A82" s="113">
        <f>A80+1</f>
        <v>23</v>
      </c>
      <c r="B82" s="119" t="s">
        <v>124</v>
      </c>
      <c r="C82" s="115"/>
      <c r="D82" s="116">
        <f>Anafi!E73/(Anafi!E16+Anafi!E21)/1.18*365</f>
        <v>105.65837568535164</v>
      </c>
      <c r="E82" s="115"/>
      <c r="F82" s="115"/>
      <c r="G82" s="117">
        <v>1</v>
      </c>
      <c r="H82" s="129" t="s">
        <v>129</v>
      </c>
    </row>
    <row r="83" spans="1:8" x14ac:dyDescent="0.35">
      <c r="A83" s="113"/>
      <c r="B83" s="114"/>
      <c r="C83" s="115"/>
      <c r="D83" s="116"/>
      <c r="E83" s="115"/>
      <c r="F83" s="115"/>
      <c r="G83" s="117"/>
      <c r="H83" s="118"/>
    </row>
    <row r="84" spans="1:8" ht="31" x14ac:dyDescent="0.35">
      <c r="A84" s="122">
        <f>A82+1</f>
        <v>24</v>
      </c>
      <c r="B84" s="123" t="s">
        <v>127</v>
      </c>
      <c r="C84" s="124"/>
      <c r="D84" s="130">
        <f>Anafi!B68/Anafi!B17*365</f>
        <v>118.78198924731183</v>
      </c>
      <c r="E84" s="124"/>
      <c r="F84" s="124"/>
      <c r="G84" s="127">
        <v>2</v>
      </c>
      <c r="H84" s="131" t="s">
        <v>147</v>
      </c>
    </row>
    <row r="85" spans="1:8" x14ac:dyDescent="0.35">
      <c r="A85" s="113"/>
      <c r="B85" s="114"/>
      <c r="C85" s="115"/>
      <c r="D85" s="116"/>
      <c r="E85" s="115"/>
      <c r="F85" s="115"/>
      <c r="G85" s="117"/>
      <c r="H85" s="118"/>
    </row>
    <row r="86" spans="1:8" ht="31" x14ac:dyDescent="0.35">
      <c r="A86" s="113">
        <f>A84+1</f>
        <v>25</v>
      </c>
      <c r="B86" s="144" t="s">
        <v>183</v>
      </c>
      <c r="C86" s="115"/>
      <c r="D86" s="116">
        <f>Anafi!D70/Anafi!D8*365</f>
        <v>19.002442456261448</v>
      </c>
      <c r="E86" s="115"/>
      <c r="F86" s="115"/>
      <c r="G86" s="117">
        <v>2</v>
      </c>
      <c r="H86" s="129" t="s">
        <v>148</v>
      </c>
    </row>
    <row r="87" spans="1:8" x14ac:dyDescent="0.35">
      <c r="A87" s="113" t="s">
        <v>36</v>
      </c>
      <c r="B87" s="114"/>
      <c r="C87" s="115"/>
      <c r="D87" s="116"/>
      <c r="E87" s="115"/>
      <c r="F87" s="115"/>
      <c r="G87" s="117"/>
      <c r="H87" s="118"/>
    </row>
    <row r="88" spans="1:8" ht="62" x14ac:dyDescent="0.35">
      <c r="A88" s="122">
        <f>A86+1</f>
        <v>26</v>
      </c>
      <c r="B88" s="123" t="s">
        <v>151</v>
      </c>
      <c r="C88" s="124"/>
      <c r="D88" s="130">
        <f>Anafi!B64/'Annexe 2'!C12*100</f>
        <v>32.333500250375565</v>
      </c>
      <c r="E88" s="124"/>
      <c r="F88" s="124"/>
      <c r="G88" s="127">
        <v>2</v>
      </c>
      <c r="H88" s="131" t="s">
        <v>152</v>
      </c>
    </row>
    <row r="89" spans="1:8" x14ac:dyDescent="0.35">
      <c r="A89" s="113"/>
      <c r="B89" s="114"/>
      <c r="C89" s="115"/>
      <c r="D89" s="116"/>
      <c r="E89" s="115"/>
      <c r="F89" s="115"/>
      <c r="G89" s="117"/>
      <c r="H89" s="118"/>
    </row>
    <row r="90" spans="1:8" ht="31" x14ac:dyDescent="0.35">
      <c r="A90" s="113">
        <f>A88+1</f>
        <v>27</v>
      </c>
      <c r="B90" s="119" t="s">
        <v>128</v>
      </c>
      <c r="C90" s="115"/>
      <c r="D90" s="116">
        <f>Anafi!E64/'Annexe 2'!F12*100</f>
        <v>54.909826282986337</v>
      </c>
      <c r="E90" s="115"/>
      <c r="F90" s="115"/>
      <c r="G90" s="117">
        <v>1</v>
      </c>
      <c r="H90" s="129" t="s">
        <v>152</v>
      </c>
    </row>
    <row r="91" spans="1:8" x14ac:dyDescent="0.35">
      <c r="A91" s="113"/>
      <c r="B91" s="114"/>
      <c r="C91" s="115"/>
      <c r="D91" s="116"/>
      <c r="E91" s="115"/>
      <c r="F91" s="115"/>
      <c r="G91" s="117"/>
      <c r="H91" s="118"/>
    </row>
    <row r="92" spans="1:8" ht="46.5" x14ac:dyDescent="0.35">
      <c r="A92" s="122">
        <f>A90+1</f>
        <v>28</v>
      </c>
      <c r="B92" s="123" t="s">
        <v>100</v>
      </c>
      <c r="C92" s="124"/>
      <c r="D92" s="145">
        <f>Anafi!B89/Anafi!B26</f>
        <v>9.2468217798033103E-2</v>
      </c>
      <c r="E92" s="146"/>
      <c r="F92" s="146"/>
      <c r="G92" s="127">
        <v>2</v>
      </c>
      <c r="H92" s="131" t="s">
        <v>130</v>
      </c>
    </row>
    <row r="93" spans="1:8" x14ac:dyDescent="0.35">
      <c r="A93" s="113"/>
      <c r="B93" s="119"/>
      <c r="C93" s="115"/>
      <c r="D93" s="116"/>
      <c r="E93" s="115"/>
      <c r="F93" s="115"/>
      <c r="G93" s="117"/>
      <c r="H93" s="118"/>
    </row>
    <row r="94" spans="1:8" ht="46.5" x14ac:dyDescent="0.35">
      <c r="A94" s="113">
        <f>A92+1</f>
        <v>29</v>
      </c>
      <c r="B94" s="119" t="s">
        <v>101</v>
      </c>
      <c r="C94" s="115"/>
      <c r="D94" s="147">
        <f>Anafi!E89/Anafi!E26</f>
        <v>-5.1986343885785227E-2</v>
      </c>
      <c r="E94" s="143"/>
      <c r="F94" s="143"/>
      <c r="G94" s="117">
        <v>1</v>
      </c>
      <c r="H94" s="129" t="s">
        <v>131</v>
      </c>
    </row>
    <row r="95" spans="1:8" x14ac:dyDescent="0.35">
      <c r="A95" s="113"/>
      <c r="B95" s="119"/>
      <c r="C95" s="115"/>
      <c r="D95" s="147"/>
      <c r="E95" s="143"/>
      <c r="F95" s="143"/>
      <c r="G95" s="117"/>
      <c r="H95" s="118"/>
    </row>
    <row r="96" spans="1:8" ht="31" x14ac:dyDescent="0.35">
      <c r="A96" s="122">
        <f>A94+1</f>
        <v>30</v>
      </c>
      <c r="B96" s="123" t="s">
        <v>176</v>
      </c>
      <c r="C96" s="124"/>
      <c r="D96" s="145"/>
      <c r="E96" s="146"/>
      <c r="F96" s="146"/>
      <c r="G96" s="127">
        <v>2</v>
      </c>
      <c r="H96" s="128"/>
    </row>
    <row r="97" spans="1:8" x14ac:dyDescent="0.35">
      <c r="A97" s="122"/>
      <c r="B97" s="123" t="s">
        <v>102</v>
      </c>
      <c r="C97" s="124"/>
      <c r="D97" s="145"/>
      <c r="E97" s="146"/>
      <c r="F97" s="146"/>
      <c r="G97" s="127"/>
      <c r="H97" s="128" t="s">
        <v>91</v>
      </c>
    </row>
    <row r="98" spans="1:8" ht="77.5" x14ac:dyDescent="0.35">
      <c r="A98" s="122"/>
      <c r="B98" s="123" t="s">
        <v>132</v>
      </c>
      <c r="C98" s="124"/>
      <c r="D98" s="145" t="s">
        <v>89</v>
      </c>
      <c r="E98" s="146"/>
      <c r="F98" s="146"/>
      <c r="G98" s="127"/>
      <c r="H98" s="131" t="s">
        <v>153</v>
      </c>
    </row>
    <row r="99" spans="1:8" ht="31" x14ac:dyDescent="0.35">
      <c r="A99" s="122"/>
      <c r="B99" s="123" t="s">
        <v>92</v>
      </c>
      <c r="C99" s="124"/>
      <c r="D99" s="145"/>
      <c r="E99" s="146"/>
      <c r="F99" s="146"/>
      <c r="G99" s="127"/>
      <c r="H99" s="128" t="s">
        <v>93</v>
      </c>
    </row>
    <row r="100" spans="1:8" ht="31" x14ac:dyDescent="0.35">
      <c r="A100" s="122"/>
      <c r="B100" s="123" t="s">
        <v>103</v>
      </c>
      <c r="C100" s="124"/>
      <c r="D100" s="145"/>
      <c r="E100" s="146"/>
      <c r="F100" s="146"/>
      <c r="G100" s="127"/>
      <c r="H100" s="128" t="s">
        <v>94</v>
      </c>
    </row>
    <row r="101" spans="1:8" x14ac:dyDescent="0.35">
      <c r="A101" s="113"/>
      <c r="B101" s="119"/>
      <c r="C101" s="115"/>
      <c r="D101" s="116"/>
      <c r="E101" s="115"/>
      <c r="F101" s="115"/>
      <c r="G101" s="117"/>
      <c r="H101" s="118"/>
    </row>
    <row r="102" spans="1:8" ht="62" x14ac:dyDescent="0.35">
      <c r="A102" s="113">
        <f>A96+1</f>
        <v>31</v>
      </c>
      <c r="B102" s="119" t="s">
        <v>155</v>
      </c>
      <c r="C102" s="115"/>
      <c r="D102" s="116">
        <f>Anafi!C28*(1-25%)/Anafi!C79*100</f>
        <v>25.79755914784284</v>
      </c>
      <c r="E102" s="117"/>
      <c r="F102" s="117"/>
      <c r="G102" s="117">
        <v>2</v>
      </c>
      <c r="H102" s="129" t="s">
        <v>133</v>
      </c>
    </row>
    <row r="103" spans="1:8" x14ac:dyDescent="0.35">
      <c r="A103" s="113"/>
      <c r="B103" s="119"/>
      <c r="C103" s="115"/>
      <c r="D103" s="116"/>
      <c r="E103" s="115"/>
      <c r="F103" s="115"/>
      <c r="G103" s="117"/>
      <c r="H103" s="118"/>
    </row>
    <row r="104" spans="1:8" ht="62" x14ac:dyDescent="0.35">
      <c r="A104" s="122">
        <f>A102+1</f>
        <v>32</v>
      </c>
      <c r="B104" s="123" t="s">
        <v>134</v>
      </c>
      <c r="C104" s="124"/>
      <c r="D104" s="130">
        <f>Anafi!E28*(1-25%)/Anafi!E79*100</f>
        <v>18.729608482871125</v>
      </c>
      <c r="E104" s="127"/>
      <c r="F104" s="127"/>
      <c r="G104" s="127">
        <v>1</v>
      </c>
      <c r="H104" s="131" t="s">
        <v>133</v>
      </c>
    </row>
    <row r="105" spans="1:8" x14ac:dyDescent="0.35">
      <c r="A105" s="113"/>
      <c r="B105" s="119"/>
      <c r="C105" s="115"/>
      <c r="D105" s="116"/>
      <c r="E105" s="115"/>
      <c r="F105" s="115"/>
      <c r="G105" s="148" t="s">
        <v>36</v>
      </c>
      <c r="H105" s="118"/>
    </row>
    <row r="106" spans="1:8" ht="31" x14ac:dyDescent="0.35">
      <c r="A106" s="113">
        <f>A104+1</f>
        <v>33</v>
      </c>
      <c r="B106" s="119" t="s">
        <v>136</v>
      </c>
      <c r="C106" s="115"/>
      <c r="D106" s="147">
        <f>Anafi!B8/Anafi!B79</f>
        <v>3.5214981675158668</v>
      </c>
      <c r="E106" s="143"/>
      <c r="F106" s="143"/>
      <c r="G106" s="117">
        <v>2</v>
      </c>
      <c r="H106" s="129" t="s">
        <v>135</v>
      </c>
    </row>
    <row r="107" spans="1:8" x14ac:dyDescent="0.35">
      <c r="A107" s="113"/>
      <c r="B107" s="119"/>
      <c r="C107" s="115"/>
      <c r="D107" s="147"/>
      <c r="E107" s="143"/>
      <c r="F107" s="143"/>
      <c r="G107" s="117"/>
      <c r="H107" s="129"/>
    </row>
    <row r="108" spans="1:8" ht="31" x14ac:dyDescent="0.35">
      <c r="A108" s="122">
        <f>A106+1</f>
        <v>34</v>
      </c>
      <c r="B108" s="123" t="s">
        <v>137</v>
      </c>
      <c r="C108" s="124"/>
      <c r="D108" s="145">
        <f>Anafi!E8/Anafi!E79</f>
        <v>1.7662225847380824</v>
      </c>
      <c r="E108" s="146"/>
      <c r="F108" s="146"/>
      <c r="G108" s="127">
        <v>1</v>
      </c>
      <c r="H108" s="131" t="s">
        <v>135</v>
      </c>
    </row>
    <row r="109" spans="1:8" x14ac:dyDescent="0.35">
      <c r="A109" s="113"/>
      <c r="B109" s="119"/>
      <c r="C109" s="115"/>
      <c r="D109" s="116"/>
      <c r="E109" s="115"/>
      <c r="F109" s="115"/>
      <c r="G109" s="117"/>
      <c r="H109" s="118"/>
    </row>
    <row r="110" spans="1:8" ht="47" customHeight="1" x14ac:dyDescent="0.35">
      <c r="A110" s="113">
        <f>A108+1</f>
        <v>35</v>
      </c>
      <c r="B110" s="119" t="s">
        <v>95</v>
      </c>
      <c r="C110" s="115"/>
      <c r="D110" s="147"/>
      <c r="E110" s="143"/>
      <c r="F110" s="143"/>
      <c r="G110" s="117">
        <v>2</v>
      </c>
      <c r="H110" s="118"/>
    </row>
    <row r="111" spans="1:8" ht="62" x14ac:dyDescent="0.35">
      <c r="A111" s="113"/>
      <c r="B111" s="119" t="s">
        <v>185</v>
      </c>
      <c r="C111" s="115"/>
      <c r="D111" s="147" t="s">
        <v>89</v>
      </c>
      <c r="E111" s="143"/>
      <c r="F111" s="143"/>
      <c r="G111" s="117"/>
      <c r="H111" s="129" t="s">
        <v>184</v>
      </c>
    </row>
    <row r="112" spans="1:8" x14ac:dyDescent="0.35">
      <c r="A112" s="113"/>
      <c r="B112" s="119" t="s">
        <v>96</v>
      </c>
      <c r="C112" s="115"/>
      <c r="D112" s="147"/>
      <c r="E112" s="143"/>
      <c r="F112" s="143"/>
      <c r="G112" s="117"/>
      <c r="H112" s="118" t="s">
        <v>97</v>
      </c>
    </row>
    <row r="113" spans="1:8" x14ac:dyDescent="0.35">
      <c r="A113" s="149"/>
      <c r="B113" s="119" t="s">
        <v>98</v>
      </c>
      <c r="C113" s="115"/>
      <c r="D113" s="147"/>
      <c r="E113" s="143"/>
      <c r="F113" s="143"/>
      <c r="G113" s="117"/>
      <c r="H113" s="118" t="s">
        <v>97</v>
      </c>
    </row>
    <row r="114" spans="1:8" x14ac:dyDescent="0.35">
      <c r="A114" s="149"/>
      <c r="B114" s="119" t="s">
        <v>138</v>
      </c>
      <c r="C114" s="115"/>
      <c r="D114" s="147" t="s">
        <v>36</v>
      </c>
      <c r="E114" s="143"/>
      <c r="F114" s="143"/>
      <c r="G114" s="117"/>
      <c r="H114" s="129" t="s">
        <v>36</v>
      </c>
    </row>
    <row r="115" spans="1:8" x14ac:dyDescent="0.35">
      <c r="A115" s="149"/>
      <c r="B115" s="119"/>
      <c r="C115" s="115"/>
      <c r="D115" s="116"/>
      <c r="E115" s="115"/>
      <c r="F115" s="115"/>
      <c r="G115" s="117"/>
      <c r="H115" s="118"/>
    </row>
    <row r="116" spans="1:8" ht="46.5" x14ac:dyDescent="0.35">
      <c r="A116" s="122">
        <f>A110+1</f>
        <v>36</v>
      </c>
      <c r="B116" s="123" t="s">
        <v>104</v>
      </c>
      <c r="C116" s="124"/>
      <c r="D116" s="130">
        <f>(Anafi!C36-Anafi!C31)/Anafi!C85*100</f>
        <v>18.436936936936938</v>
      </c>
      <c r="E116" s="127"/>
      <c r="F116" s="127"/>
      <c r="G116" s="127">
        <v>2</v>
      </c>
      <c r="H116" s="131" t="s">
        <v>139</v>
      </c>
    </row>
    <row r="117" spans="1:8" x14ac:dyDescent="0.35">
      <c r="A117" s="149"/>
      <c r="B117" s="119"/>
      <c r="C117" s="115"/>
      <c r="D117" s="116"/>
      <c r="E117" s="115"/>
      <c r="F117" s="115"/>
      <c r="G117" s="117"/>
      <c r="H117" s="118"/>
    </row>
    <row r="118" spans="1:8" s="105" customFormat="1" ht="46.25" customHeight="1" x14ac:dyDescent="0.35">
      <c r="A118" s="113">
        <f>A116+1</f>
        <v>37</v>
      </c>
      <c r="B118" s="150" t="s">
        <v>156</v>
      </c>
      <c r="C118" s="116"/>
      <c r="D118" s="116"/>
      <c r="E118" s="116"/>
      <c r="F118" s="116"/>
      <c r="G118" s="117">
        <v>2</v>
      </c>
      <c r="H118" s="118" t="s">
        <v>160</v>
      </c>
    </row>
    <row r="119" spans="1:8" x14ac:dyDescent="0.35">
      <c r="A119" s="149"/>
      <c r="B119" s="119" t="s">
        <v>158</v>
      </c>
      <c r="C119" s="115"/>
      <c r="D119" s="116"/>
      <c r="E119" s="115"/>
      <c r="F119" s="115"/>
      <c r="G119" s="117"/>
      <c r="H119" s="118"/>
    </row>
    <row r="120" spans="1:8" x14ac:dyDescent="0.35">
      <c r="A120" s="149"/>
      <c r="B120" s="119" t="s">
        <v>157</v>
      </c>
      <c r="C120" s="115"/>
      <c r="D120" s="116"/>
      <c r="E120" s="115"/>
      <c r="F120" s="115"/>
      <c r="G120" s="117"/>
      <c r="H120" s="118"/>
    </row>
    <row r="121" spans="1:8" ht="31" x14ac:dyDescent="0.35">
      <c r="A121" s="149"/>
      <c r="B121" s="119" t="s">
        <v>159</v>
      </c>
      <c r="C121" s="117" t="s">
        <v>36</v>
      </c>
      <c r="D121" s="116" t="s">
        <v>89</v>
      </c>
      <c r="E121" s="115"/>
      <c r="F121" s="115"/>
      <c r="G121" s="117"/>
      <c r="H121" s="118"/>
    </row>
    <row r="122" spans="1:8" ht="31" x14ac:dyDescent="0.35">
      <c r="A122" s="149"/>
      <c r="B122" s="119" t="s">
        <v>161</v>
      </c>
      <c r="C122" s="115"/>
      <c r="D122" s="116"/>
      <c r="E122" s="115"/>
      <c r="F122" s="115"/>
      <c r="G122" s="117"/>
      <c r="H122" s="118"/>
    </row>
    <row r="123" spans="1:8" ht="16" thickBot="1" x14ac:dyDescent="0.4">
      <c r="A123" s="151"/>
      <c r="B123" s="152"/>
      <c r="C123" s="153"/>
      <c r="D123" s="154"/>
      <c r="E123" s="153"/>
      <c r="F123" s="153"/>
      <c r="G123" s="155"/>
      <c r="H123" s="156"/>
    </row>
    <row r="124" spans="1:8" x14ac:dyDescent="0.35">
      <c r="B124" s="98" t="s">
        <v>74</v>
      </c>
      <c r="C124" s="99"/>
      <c r="D124" s="102"/>
      <c r="E124" s="99"/>
      <c r="F124" s="99"/>
      <c r="G124" s="100">
        <f>SUM(G4:G121)</f>
        <v>59</v>
      </c>
      <c r="H124" s="101"/>
    </row>
  </sheetData>
  <mergeCells count="1">
    <mergeCell ref="A1:H1"/>
  </mergeCells>
  <pageMargins left="0.7" right="0.7" top="0.75" bottom="0.75" header="0.3" footer="0.3"/>
  <pageSetup paperSize="9" scale="56" orientation="portrait" horizontalDpi="1200" verticalDpi="1200" r:id="rId1"/>
  <rowBreaks count="1" manualBreakCount="1">
    <brk id="47" max="7" man="1"/>
  </rowBreaks>
  <colBreaks count="1" manualBreakCount="1">
    <brk id="8" max="12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0B716-3988-4747-9CCF-B3C4AEAFFBAB}">
  <dimension ref="B10:F12"/>
  <sheetViews>
    <sheetView zoomScale="130" zoomScaleNormal="130" workbookViewId="0">
      <selection activeCell="D7" sqref="D7"/>
    </sheetView>
  </sheetViews>
  <sheetFormatPr defaultColWidth="11.453125" defaultRowHeight="12.5" x14ac:dyDescent="0.25"/>
  <cols>
    <col min="2" max="2" width="30.6328125" customWidth="1"/>
    <col min="3" max="3" width="11.6328125" bestFit="1" customWidth="1"/>
    <col min="5" max="6" width="11.6328125" bestFit="1" customWidth="1"/>
  </cols>
  <sheetData>
    <row r="10" spans="2:6" x14ac:dyDescent="0.25">
      <c r="B10" s="96" t="s">
        <v>150</v>
      </c>
      <c r="C10" s="97">
        <v>2015</v>
      </c>
      <c r="D10" s="97">
        <f>C10+1</f>
        <v>2016</v>
      </c>
      <c r="E10" s="97">
        <f t="shared" ref="E10:F10" si="0">D10+1</f>
        <v>2017</v>
      </c>
      <c r="F10" s="97">
        <f t="shared" si="0"/>
        <v>2018</v>
      </c>
    </row>
    <row r="11" spans="2:6" x14ac:dyDescent="0.25">
      <c r="C11" s="93"/>
      <c r="D11" s="93"/>
      <c r="E11" s="93"/>
      <c r="F11" s="93"/>
    </row>
    <row r="12" spans="2:6" x14ac:dyDescent="0.25">
      <c r="B12" s="94" t="s">
        <v>149</v>
      </c>
      <c r="C12" s="95">
        <f>3981+405+15226+358</f>
        <v>19970</v>
      </c>
      <c r="D12" s="94"/>
      <c r="E12" s="95">
        <v>27368</v>
      </c>
      <c r="F12" s="95">
        <v>30164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Anafi</vt:lpstr>
      <vt:lpstr>Questions et réponses</vt:lpstr>
      <vt:lpstr>Annexe 2</vt:lpstr>
      <vt:lpstr>'Questions et réponses'!Print_Area</vt:lpstr>
    </vt:vector>
  </TitlesOfParts>
  <Company>Paribas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U30748D</dc:creator>
  <cp:lastModifiedBy>Amandine FAGOT</cp:lastModifiedBy>
  <cp:lastPrinted>2019-09-24T19:04:54Z</cp:lastPrinted>
  <dcterms:created xsi:type="dcterms:W3CDTF">1999-09-23T15:29:24Z</dcterms:created>
  <dcterms:modified xsi:type="dcterms:W3CDTF">2020-05-04T11:51:12Z</dcterms:modified>
</cp:coreProperties>
</file>